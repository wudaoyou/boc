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wudaoyou/Dev/git/boc/doc/"/>
    </mc:Choice>
  </mc:AlternateContent>
  <xr:revisionPtr revIDLastSave="0" documentId="13_ncr:1_{7CF12D80-3DE4-E44E-B4BD-37B6C46AC73D}" xr6:coauthVersionLast="47" xr6:coauthVersionMax="47" xr10:uidLastSave="{00000000-0000-0000-0000-000000000000}"/>
  <bookViews>
    <workbookView xWindow="0" yWindow="660" windowWidth="34560" windowHeight="20060" xr2:uid="{00000000-000D-0000-FFFF-FFFF00000000}"/>
  </bookViews>
  <sheets>
    <sheet name="Default Mapping" sheetId="1" r:id="rId1"/>
    <sheet name="Secondary Mapping" sheetId="2" r:id="rId2"/>
    <sheet name="Countries" sheetId="3" r:id="rId3"/>
    <sheet name="Country View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4" l="1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E2" i="4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E28" i="4" l="1"/>
  <c r="C28" i="4"/>
  <c r="D28" i="4" s="1"/>
  <c r="E27" i="4"/>
  <c r="D27" i="4"/>
  <c r="C27" i="4"/>
  <c r="E26" i="4"/>
  <c r="D26" i="4"/>
  <c r="C26" i="4"/>
  <c r="E25" i="4"/>
  <c r="D25" i="4"/>
  <c r="C25" i="4"/>
  <c r="E24" i="4"/>
  <c r="D24" i="4"/>
  <c r="C24" i="4"/>
  <c r="C23" i="4"/>
  <c r="E21" i="4"/>
  <c r="D21" i="4"/>
  <c r="C21" i="4"/>
  <c r="E20" i="4"/>
  <c r="D20" i="4"/>
  <c r="C20" i="4"/>
  <c r="E19" i="4"/>
  <c r="D19" i="4"/>
  <c r="C19" i="4"/>
  <c r="E18" i="4"/>
  <c r="D18" i="4"/>
  <c r="C18" i="4"/>
  <c r="E17" i="4"/>
  <c r="D17" i="4"/>
  <c r="C17" i="4"/>
  <c r="E16" i="4"/>
  <c r="C16" i="4"/>
  <c r="D16" i="4" s="1"/>
  <c r="E15" i="4"/>
  <c r="C15" i="4"/>
  <c r="D15" i="4" s="1"/>
  <c r="E11" i="4"/>
  <c r="D11" i="4"/>
  <c r="C11" i="4"/>
  <c r="E14" i="4"/>
  <c r="C14" i="4"/>
  <c r="D14" i="4" s="1"/>
  <c r="E13" i="4"/>
  <c r="C13" i="4"/>
  <c r="D13" i="4" s="1"/>
  <c r="E12" i="4"/>
  <c r="D12" i="4"/>
  <c r="C12" i="4"/>
  <c r="E10" i="4"/>
  <c r="D10" i="4"/>
  <c r="C10" i="4"/>
  <c r="E9" i="4"/>
  <c r="D9" i="4"/>
  <c r="C9" i="4"/>
  <c r="E8" i="4"/>
  <c r="D8" i="4"/>
  <c r="D7" i="4"/>
  <c r="C7" i="4"/>
  <c r="E6" i="4"/>
  <c r="D6" i="4"/>
  <c r="C6" i="4"/>
  <c r="C8" i="4"/>
  <c r="E7" i="4"/>
  <c r="E23" i="4"/>
  <c r="D22" i="4"/>
  <c r="D23" i="4"/>
  <c r="C22" i="4"/>
  <c r="E22" i="4"/>
</calcChain>
</file>

<file path=xl/sharedStrings.xml><?xml version="1.0" encoding="utf-8"?>
<sst xmlns="http://schemas.openxmlformats.org/spreadsheetml/2006/main" count="801" uniqueCount="206">
  <si>
    <t>EC → S/4 IT0006 | Default Home Mapping</t>
  </si>
  <si>
    <t>EC fields from doc/bankofcanaT2-Metadata.xml (PerAddressDEFLT). Default target is a SAP documentation candidate; record country exceptions on Secondary Mapping. Check live configuration.</t>
  </si>
  <si>
    <t>SAP S/4HANA EC replication guide (1H 2605), IT0006, pp. 72–78 and 172 onward: https://help.sap.com/doc/d168209b47c64118b321a67311b98e43/2605/en-US/SF_EC_S4_EE_Data_HCI_en-US.pdf</t>
  </si>
  <si>
    <t>EC HRIS field</t>
  </si>
  <si>
    <t>EC OData property</t>
  </si>
  <si>
    <t>EC address type</t>
  </si>
  <si>
    <t>S/4 infotype</t>
  </si>
  <si>
    <t>Default S/4 field</t>
  </si>
  <si>
    <t>Rule / value mapping</t>
  </si>
  <si>
    <t>Evidence status</t>
  </si>
  <si>
    <t>Live configuration check</t>
  </si>
  <si>
    <t>Notes / decision</t>
  </si>
  <si>
    <t>startDate</t>
  </si>
  <si>
    <t>home</t>
  </si>
  <si>
    <t>IT0006</t>
  </si>
  <si>
    <t>BEGDA</t>
  </si>
  <si>
    <t>Direct validity date</t>
  </si>
  <si>
    <t>SAP standard</t>
  </si>
  <si>
    <t>Pending</t>
  </si>
  <si>
    <t>endDate</t>
  </si>
  <si>
    <t>ENDDA</t>
  </si>
  <si>
    <t>addressType</t>
  </si>
  <si>
    <t>ANSSA</t>
  </si>
  <si>
    <t>Same field target for all 19 countries; verify home → 1 code mapping</t>
  </si>
  <si>
    <t>User confirmed common field target</t>
  </si>
  <si>
    <t>Pending value and runtime check</t>
  </si>
  <si>
    <t>Subtype 1 appears in supplied screenshots; confirm live ANSSA/SUBTY behavior</t>
  </si>
  <si>
    <t>country</t>
  </si>
  <si>
    <t>LAND1</t>
  </si>
  <si>
    <t>Default: country → LAND1; verify EC-to-SAP code conversion</t>
  </si>
  <si>
    <t>User confirmed default</t>
  </si>
  <si>
    <t>Pending code and runtime check</t>
  </si>
  <si>
    <t>EC country code and SAP country key may differ</t>
  </si>
  <si>
    <t>city</t>
  </si>
  <si>
    <t>ORT01</t>
  </si>
  <si>
    <t>Default: city → ORT01; see Secondary Mapping</t>
  </si>
  <si>
    <t>Pending EC→S/4 runtime check</t>
  </si>
  <si>
    <t>HK maps to COUNC; JP screenshot target blank; NLD pending review</t>
  </si>
  <si>
    <t>zip-code</t>
  </si>
  <si>
    <t>zipCode</t>
  </si>
  <si>
    <t>PSTLZ</t>
  </si>
  <si>
    <t>Default: zip-code → PSTLZ; preserve postal code as text</t>
  </si>
  <si>
    <t>No country exceptions supplied; check length and requiredness by country</t>
  </si>
  <si>
    <t>address1</t>
  </si>
  <si>
    <t>STRAS</t>
  </si>
  <si>
    <t>Default: address1 → STRAS; use Secondary Mapping for screenshot exceptions</t>
  </si>
  <si>
    <t>ERP_WS_10 screenshot has country-specific field targets; template direction to confirm</t>
  </si>
  <si>
    <t>address2</t>
  </si>
  <si>
    <t>No default target; map by country on Secondary Mapping</t>
  </si>
  <si>
    <t>User confirmed country-dependent</t>
  </si>
  <si>
    <t>No screenshot row for AUT, BEL, BMU, ISR; leave unresolved</t>
  </si>
  <si>
    <t>address3</t>
  </si>
  <si>
    <t>Screenshot has 11 in-scope countries; remaining 8 are unresolved</t>
  </si>
  <si>
    <t>address4</t>
  </si>
  <si>
    <t>Screenshot has 6 in-scope countries; remaining 13 are unresolved</t>
  </si>
  <si>
    <t>address5</t>
  </si>
  <si>
    <t>Screenshot has 5 in-scope countries; remaining 14 are unresolved</t>
  </si>
  <si>
    <t>address6</t>
  </si>
  <si>
    <t>Screenshot has 2 in-scope countries; remaining 17 are unresolved</t>
  </si>
  <si>
    <t>address7</t>
  </si>
  <si>
    <t>No in-scope screenshot mapping</t>
  </si>
  <si>
    <t>Out-of-scope only</t>
  </si>
  <si>
    <t>Screenshot lists SA and SG only; excluded from scope</t>
  </si>
  <si>
    <t>address8</t>
  </si>
  <si>
    <t>address9</t>
  </si>
  <si>
    <t>Screenshot lists Saudi Arabia only (country grouping 24); excluded</t>
  </si>
  <si>
    <t>address10</t>
  </si>
  <si>
    <t>Country-specific; record any mapping in Secondary Mapping</t>
  </si>
  <si>
    <t>Country review</t>
  </si>
  <si>
    <t>address11</t>
  </si>
  <si>
    <t>address12</t>
  </si>
  <si>
    <t>address13</t>
  </si>
  <si>
    <t>address20</t>
  </si>
  <si>
    <t>Switzerland only; see Secondary Mapping</t>
  </si>
  <si>
    <t>User confirmed CHE only</t>
  </si>
  <si>
    <t>No address20 mapping for the other 18 countries in scope</t>
  </si>
  <si>
    <t>state</t>
  </si>
  <si>
    <t>STATE</t>
  </si>
  <si>
    <t>Default: state → STATE; verify country picklist code conversion</t>
  </si>
  <si>
    <t>GBR and IRL county also map to STATE; verify country field selection</t>
  </si>
  <si>
    <t>province</t>
  </si>
  <si>
    <t>Country-specific; code mapping may be required</t>
  </si>
  <si>
    <t>county</t>
  </si>
  <si>
    <t>Screenshot has 9 in-scope countries; remaining 10 are unresolved</t>
  </si>
  <si>
    <t>IT0006 | Country Exceptions</t>
  </si>
  <si>
    <t>Enter one row only when a country needs a different target, transformation, picklist/value mapping or requiredness rule. Blank rows are intentional.</t>
  </si>
  <si>
    <t>Country</t>
  </si>
  <si>
    <t>Country code</t>
  </si>
  <si>
    <t>Country S/4 field</t>
  </si>
  <si>
    <t>Transformation / value map</t>
  </si>
  <si>
    <t>Reason for exception</t>
  </si>
  <si>
    <t>EC required?</t>
  </si>
  <si>
    <t>S/4 required?</t>
  </si>
  <si>
    <t>Config / payload evidence</t>
  </si>
  <si>
    <t>Status</t>
  </si>
  <si>
    <t>Notes</t>
  </si>
  <si>
    <t>Country View key</t>
  </si>
  <si>
    <t>China</t>
  </si>
  <si>
    <t>CHN</t>
  </si>
  <si>
    <t>LOCAT</t>
  </si>
  <si>
    <t>Screenshot country exception</t>
  </si>
  <si>
    <t>User screenshot: ERP_WS_10 / address1</t>
  </si>
  <si>
    <t>Direction check pending</t>
  </si>
  <si>
    <t>SAP country key CN; IT0006 subtype 1; value mapping entity blank</t>
  </si>
  <si>
    <t>France</t>
  </si>
  <si>
    <t>FRA</t>
  </si>
  <si>
    <t>HSNMR</t>
  </si>
  <si>
    <t>SAP country key FR; IT0006 subtype 1; value mapping entity blank</t>
  </si>
  <si>
    <t>Hong Kong</t>
  </si>
  <si>
    <t>HKG</t>
  </si>
  <si>
    <t>SAP country key HK; IT0006 subtype 1; value mapping entity blank</t>
  </si>
  <si>
    <t>Japan</t>
  </si>
  <si>
    <t>JPN</t>
  </si>
  <si>
    <t>SAP country key JP; IT0006 subtype 1; value mapping entity blank</t>
  </si>
  <si>
    <t>Netherlands</t>
  </si>
  <si>
    <t>NLD</t>
  </si>
  <si>
    <t>SAP country key NL; IT0006 subtype 1; value mapping entity blank</t>
  </si>
  <si>
    <t>Australia</t>
  </si>
  <si>
    <t>AUS</t>
  </si>
  <si>
    <t>Country-dependent mapping</t>
  </si>
  <si>
    <t>User screenshot: ERP_WS_10 / address2</t>
  </si>
  <si>
    <t>SAP country key AU; IT0006 subtype 1; value mapping entity blank</t>
  </si>
  <si>
    <t>Canada</t>
  </si>
  <si>
    <t>CAN</t>
  </si>
  <si>
    <t>SAP country key CA; IT0006 subtype 1; value mapping entity blank</t>
  </si>
  <si>
    <t>Switzerland</t>
  </si>
  <si>
    <t>CHE</t>
  </si>
  <si>
    <t>SAP country key CH; IT0006 subtype 1; value mapping entity blank</t>
  </si>
  <si>
    <t>Colombia</t>
  </si>
  <si>
    <t>COL</t>
  </si>
  <si>
    <t>SAP country key CO; IT0006 subtype 1; value mapping entity blank</t>
  </si>
  <si>
    <t>Germany</t>
  </si>
  <si>
    <t>DEU</t>
  </si>
  <si>
    <t>SAP country key DE; IT0006 subtype 1; value mapping entity blank</t>
  </si>
  <si>
    <t>Spain</t>
  </si>
  <si>
    <t>ESP</t>
  </si>
  <si>
    <t>SAP country key ES; IT0006 subtype 1; value mapping entity blank</t>
  </si>
  <si>
    <t>United Kingdom</t>
  </si>
  <si>
    <t>GBR</t>
  </si>
  <si>
    <t>SAP country key GB; IT0006 subtype 1; value mapping entity blank</t>
  </si>
  <si>
    <t>Ireland</t>
  </si>
  <si>
    <t>IRL</t>
  </si>
  <si>
    <t>SAP country key IE; IT0006 subtype 1; value mapping entity blank</t>
  </si>
  <si>
    <t>India</t>
  </si>
  <si>
    <t>IND</t>
  </si>
  <si>
    <t>SAP country key IN; IT0006 subtype 1; value mapping entity blank</t>
  </si>
  <si>
    <t>ORT02</t>
  </si>
  <si>
    <t>United States</t>
  </si>
  <si>
    <t>USA</t>
  </si>
  <si>
    <t>SAP country key US; IT0006 subtype 1; value mapping entity blank</t>
  </si>
  <si>
    <t>NAME2</t>
  </si>
  <si>
    <t>Switzerland only</t>
  </si>
  <si>
    <t>User screenshot: ERP_WS_10 / address20</t>
  </si>
  <si>
    <t>POSTA</t>
  </si>
  <si>
    <t>User screenshot: ERP_WS_10 / address3</t>
  </si>
  <si>
    <t>SAP country key AU; IT0006 subtype 1; value mapping not confirmed</t>
  </si>
  <si>
    <t>SAP country key CN; IT0006 subtype 1; value mapping not confirmed</t>
  </si>
  <si>
    <t>SAP country key DE; IT0006 subtype 1; value mapping not confirmed</t>
  </si>
  <si>
    <t>SAP country key ES; IT0006 subtype 1; value mapping not confirmed</t>
  </si>
  <si>
    <t>SAP country key FR; IT0006 subtype 1; value mapping not confirmed</t>
  </si>
  <si>
    <t>SAP country key GB; IT0006 subtype 1; value mapping not confirmed</t>
  </si>
  <si>
    <t>NKWNG</t>
  </si>
  <si>
    <t>SAP country key HK; IT0006 subtype 1; value mapping not confirmed</t>
  </si>
  <si>
    <t>SAP country key IE; IT0006 subtype 1; value mapping not confirmed</t>
  </si>
  <si>
    <t>SAP country key IN; IT0006 subtype 1; value mapping not confirmed</t>
  </si>
  <si>
    <t>SAP country key JP; IT0006 subtype 1; value mapping not confirmed</t>
  </si>
  <si>
    <t>SAP country key NL; IT0006 subtype 1; value mapping not confirmed</t>
  </si>
  <si>
    <t>User screenshot: ERP_WS_10 / address4</t>
  </si>
  <si>
    <t>STRDS</t>
  </si>
  <si>
    <t>RCTVC</t>
  </si>
  <si>
    <t>OR1KK</t>
  </si>
  <si>
    <t>Belgium</t>
  </si>
  <si>
    <t>BEL</t>
  </si>
  <si>
    <t>User screenshot: ERP_WS_10 / address5</t>
  </si>
  <si>
    <t>SAP country key BE; IT0006 subtype 1; value mapping not confirmed</t>
  </si>
  <si>
    <t>OR2KK</t>
  </si>
  <si>
    <t>User screenshot: ERP_WS_10 / address6</t>
  </si>
  <si>
    <t>COUNC</t>
  </si>
  <si>
    <t>Country exception</t>
  </si>
  <si>
    <t>User screenshot: ERP_WS_10 / city</t>
  </si>
  <si>
    <t>Screenshot target field blank</t>
  </si>
  <si>
    <t>Blank target; review</t>
  </si>
  <si>
    <t>SAP country key JP; IT0006 subtype 1; do not infer default fallback</t>
  </si>
  <si>
    <t>Austria</t>
  </si>
  <si>
    <t>AUT</t>
  </si>
  <si>
    <t>User screenshot: ERP_WS_10 / county</t>
  </si>
  <si>
    <t>SAP country key AT; IT0006 subtype 1; value mapping entity blank</t>
  </si>
  <si>
    <t>IT0006 | Home Address Country Scope</t>
  </si>
  <si>
    <t>These countries use Default Mapping unless an exception is documented on Secondary Mapping. Check each country’s SAP screen, EC field layout and live configuration.</t>
  </si>
  <si>
    <t>ISO3</t>
  </si>
  <si>
    <t>Mapping rule</t>
  </si>
  <si>
    <t>S/4 required fields checked?</t>
  </si>
  <si>
    <t>Evidence / notes</t>
  </si>
  <si>
    <t>Default + recorded exceptions</t>
  </si>
  <si>
    <t>Bermuda</t>
  </si>
  <si>
    <t>BMU</t>
  </si>
  <si>
    <t>Israel</t>
  </si>
  <si>
    <t>ISR</t>
  </si>
  <si>
    <t>EC → IT0006 | Country Mapping View</t>
  </si>
  <si>
    <t>Select country</t>
  </si>
  <si>
    <t>Country entries override the default. “Review: blank target” records an explicit screenshot row with no target field; “Not recorded” has no mapping in this workbook.</t>
  </si>
  <si>
    <t>EC field</t>
  </si>
  <si>
    <t>Default IT0006</t>
  </si>
  <si>
    <t>Country target</t>
  </si>
  <si>
    <t>Effective mapping</t>
  </si>
  <si>
    <t>Source /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</si>
</sst>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5"/>
      <color rgb="FFFFFFFF"/>
      <name val="Aptos"/>
    </font>
    <font>
      <sz val="10"/>
      <color rgb="FF425466"/>
      <name val="Aptos"/>
    </font>
    <font>
      <sz val="10"/>
      <name val="Aptos"/>
    </font>
    <font>
      <b/>
      <sz val="10"/>
      <color rgb="FF17365D"/>
      <name val="Aptos"/>
    </font>
    <font>
      <sz val="11"/>
      <name val="Aptos"/>
    </font>
    <font>
      <b/>
      <sz val="11"/>
      <color rgb="FF17365D"/>
      <name val="Aptos"/>
    </font>
    <font>
      <b/>
      <sz val="10"/>
      <color rgb="FFFFFFFF"/>
      <name val="Aptos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DE7F0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EAF0F6"/>
      </patternFill>
    </fill>
    <fill>
      <patternFill patternType="solid">
        <fgColor rgb="FF0E6685"/>
      </patternFill>
    </fill>
    <fill>
      <patternFill patternType="solid">
        <fgColor rgb="FFEA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4" fillId="3" borderId="0" xfId="0" applyFont="1" applyFill="1"/>
    <xf numFmtId="0" fontId="5" fillId="0" borderId="0" xfId="0" applyFont="1"/>
    <xf numFmtId="0" fontId="6" fillId="5" borderId="0" xfId="0" applyFont="1" applyFill="1"/>
    <xf numFmtId="0" fontId="6" fillId="6" borderId="0" xfId="0" applyFont="1" applyFill="1"/>
    <xf numFmtId="0" fontId="7" fillId="7" borderId="0" xfId="0" applyFont="1" applyFill="1"/>
    <xf numFmtId="0" fontId="3" fillId="8" borderId="0" xfId="0" applyFont="1" applyFill="1"/>
    <xf numFmtId="0" fontId="1" fillId="2" borderId="0" xfId="0" applyFont="1" applyFill="1"/>
    <xf numFmtId="0" fontId="2" fillId="0" borderId="0" xfId="0" applyFont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faultIT0006" displayName="DefaultIT0006" ref="A5:I28" totalsRowShown="0">
  <tableColumns count="9">
    <tableColumn id="1" xr3:uid="{00000000-0010-0000-0000-000001000000}" name="EC HRIS field"/>
    <tableColumn id="2" xr3:uid="{00000000-0010-0000-0000-000002000000}" name="EC OData property"/>
    <tableColumn id="3" xr3:uid="{00000000-0010-0000-0000-000003000000}" name="EC address type"/>
    <tableColumn id="4" xr3:uid="{00000000-0010-0000-0000-000004000000}" name="S/4 infotype"/>
    <tableColumn id="5" xr3:uid="{00000000-0010-0000-0000-000005000000}" name="Default S/4 field"/>
    <tableColumn id="6" xr3:uid="{00000000-0010-0000-0000-000006000000}" name="Rule / value mapping"/>
    <tableColumn id="7" xr3:uid="{00000000-0010-0000-0000-000007000000}" name="Evidence status"/>
    <tableColumn id="8" xr3:uid="{00000000-0010-0000-0000-000008000000}" name="Live configuration check"/>
    <tableColumn id="9" xr3:uid="{00000000-0010-0000-0000-000009000000}" name="Notes / deci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condaryIT0006" displayName="SecondaryIT0006" ref="A5:L61" totalsRowShown="0">
  <tableColumns count="12">
    <tableColumn id="1" xr3:uid="{00000000-0010-0000-0100-000001000000}" name="Country"/>
    <tableColumn id="2" xr3:uid="{00000000-0010-0000-0100-000002000000}" name="Country code"/>
    <tableColumn id="3" xr3:uid="{00000000-0010-0000-0100-000003000000}" name="EC HRIS field"/>
    <tableColumn id="4" xr3:uid="{00000000-0010-0000-0100-000004000000}" name="Default S/4 field"/>
    <tableColumn id="5" xr3:uid="{00000000-0010-0000-0100-000005000000}" name="Country S/4 field"/>
    <tableColumn id="6" xr3:uid="{00000000-0010-0000-0100-000006000000}" name="Transformation / value map"/>
    <tableColumn id="7" xr3:uid="{00000000-0010-0000-0100-000007000000}" name="Reason for exception"/>
    <tableColumn id="8" xr3:uid="{00000000-0010-0000-0100-000008000000}" name="EC required?"/>
    <tableColumn id="9" xr3:uid="{00000000-0010-0000-0100-000009000000}" name="S/4 required?"/>
    <tableColumn id="10" xr3:uid="{00000000-0010-0000-0100-00000A000000}" name="Config / payload evidence"/>
    <tableColumn id="11" xr3:uid="{00000000-0010-0000-0100-00000B000000}" name="Status"/>
    <tableColumn id="12" xr3:uid="{00000000-0010-0000-0100-00000C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untryScope" displayName="CountryScope" ref="A5:G24" totalsRowShown="0">
  <tableColumns count="7">
    <tableColumn id="1" xr3:uid="{00000000-0010-0000-0200-000001000000}" name="Country"/>
    <tableColumn id="2" xr3:uid="{00000000-0010-0000-0200-000002000000}" name="ISO3"/>
    <tableColumn id="3" xr3:uid="{00000000-0010-0000-0200-000003000000}" name="EC address type"/>
    <tableColumn id="4" xr3:uid="{00000000-0010-0000-0200-000004000000}" name="Mapping rule"/>
    <tableColumn id="5" xr3:uid="{00000000-0010-0000-0200-000005000000}" name="Country review"/>
    <tableColumn id="6" xr3:uid="{00000000-0010-0000-0200-000006000000}" name="S/4 required fields checked?"/>
    <tableColumn id="7" xr3:uid="{00000000-0010-0000-0200-000007000000}" name="Evidence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showGridLines="0" tabSelected="1" workbookViewId="0">
      <pane ySplit="5" topLeftCell="A6" activePane="bottomLeft" state="frozen"/>
      <selection pane="bottomLeft" sqref="A1:I1"/>
    </sheetView>
  </sheetViews>
  <sheetFormatPr baseColWidth="10" defaultColWidth="8.83203125" defaultRowHeight="14"/>
  <cols>
    <col min="1" max="1" width="19" customWidth="1"/>
    <col min="2" max="2" width="20" customWidth="1"/>
    <col min="3" max="3" width="17" customWidth="1"/>
    <col min="4" max="4" width="14" customWidth="1"/>
    <col min="5" max="5" width="21" customWidth="1"/>
    <col min="6" max="6" width="64" customWidth="1"/>
    <col min="7" max="7" width="25" customWidth="1"/>
    <col min="8" max="8" width="26" customWidth="1"/>
    <col min="9" max="9" width="35" customWidth="1"/>
  </cols>
  <sheetData>
    <row r="1" spans="1:9" ht="33" customHeight="1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9" ht="23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</row>
    <row r="3" spans="1:9" ht="23" customHeight="1">
      <c r="A3" s="10" t="s">
        <v>2</v>
      </c>
      <c r="B3" s="10"/>
      <c r="C3" s="10"/>
      <c r="D3" s="10"/>
      <c r="E3" s="10"/>
      <c r="F3" s="10"/>
      <c r="G3" s="10"/>
      <c r="H3" s="10"/>
      <c r="I3" s="10"/>
    </row>
    <row r="5" spans="1:9" ht="34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ht="15">
      <c r="A6" s="2" t="s">
        <v>12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  <c r="I6" s="2"/>
    </row>
    <row r="7" spans="1:9" ht="15">
      <c r="A7" s="2" t="s">
        <v>19</v>
      </c>
      <c r="B7" s="2" t="s">
        <v>19</v>
      </c>
      <c r="C7" s="2" t="s">
        <v>13</v>
      </c>
      <c r="D7" s="2" t="s">
        <v>14</v>
      </c>
      <c r="E7" s="2" t="s">
        <v>20</v>
      </c>
      <c r="F7" s="2" t="s">
        <v>16</v>
      </c>
      <c r="G7" s="2" t="s">
        <v>17</v>
      </c>
      <c r="H7" s="2" t="s">
        <v>18</v>
      </c>
      <c r="I7" s="2"/>
    </row>
    <row r="8" spans="1:9" ht="15">
      <c r="A8" s="2" t="s">
        <v>21</v>
      </c>
      <c r="B8" s="2" t="s">
        <v>21</v>
      </c>
      <c r="C8" s="2" t="s">
        <v>13</v>
      </c>
      <c r="D8" s="2" t="s">
        <v>14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</row>
    <row r="9" spans="1:9" ht="15">
      <c r="A9" s="2" t="s">
        <v>27</v>
      </c>
      <c r="B9" s="2" t="s">
        <v>27</v>
      </c>
      <c r="C9" s="2" t="s">
        <v>13</v>
      </c>
      <c r="D9" s="2" t="s">
        <v>14</v>
      </c>
      <c r="E9" s="2" t="s">
        <v>28</v>
      </c>
      <c r="F9" s="2" t="s">
        <v>29</v>
      </c>
      <c r="G9" s="2" t="s">
        <v>30</v>
      </c>
      <c r="H9" s="2" t="s">
        <v>31</v>
      </c>
      <c r="I9" s="2" t="s">
        <v>32</v>
      </c>
    </row>
    <row r="10" spans="1:9" ht="15">
      <c r="A10" s="2" t="s">
        <v>33</v>
      </c>
      <c r="B10" s="2" t="s">
        <v>33</v>
      </c>
      <c r="C10" s="2" t="s">
        <v>13</v>
      </c>
      <c r="D10" s="2" t="s">
        <v>14</v>
      </c>
      <c r="E10" s="2" t="s">
        <v>34</v>
      </c>
      <c r="F10" s="2" t="s">
        <v>35</v>
      </c>
      <c r="G10" s="2" t="s">
        <v>30</v>
      </c>
      <c r="H10" s="2" t="s">
        <v>36</v>
      </c>
      <c r="I10" s="2" t="s">
        <v>37</v>
      </c>
    </row>
    <row r="11" spans="1:9" ht="15">
      <c r="A11" s="2" t="s">
        <v>38</v>
      </c>
      <c r="B11" s="2" t="s">
        <v>39</v>
      </c>
      <c r="C11" s="2" t="s">
        <v>13</v>
      </c>
      <c r="D11" s="2" t="s">
        <v>14</v>
      </c>
      <c r="E11" s="2" t="s">
        <v>40</v>
      </c>
      <c r="F11" s="2" t="s">
        <v>41</v>
      </c>
      <c r="G11" s="2" t="s">
        <v>30</v>
      </c>
      <c r="H11" s="2" t="s">
        <v>36</v>
      </c>
      <c r="I11" s="2" t="s">
        <v>42</v>
      </c>
    </row>
    <row r="12" spans="1:9" ht="15">
      <c r="A12" s="2" t="s">
        <v>43</v>
      </c>
      <c r="B12" s="2" t="s">
        <v>43</v>
      </c>
      <c r="C12" s="2" t="s">
        <v>13</v>
      </c>
      <c r="D12" s="2" t="s">
        <v>14</v>
      </c>
      <c r="E12" s="2" t="s">
        <v>44</v>
      </c>
      <c r="F12" s="2" t="s">
        <v>45</v>
      </c>
      <c r="G12" s="2" t="s">
        <v>30</v>
      </c>
      <c r="H12" s="2" t="s">
        <v>36</v>
      </c>
      <c r="I12" s="2" t="s">
        <v>46</v>
      </c>
    </row>
    <row r="13" spans="1:9" ht="15">
      <c r="A13" s="2" t="s">
        <v>47</v>
      </c>
      <c r="B13" s="2" t="s">
        <v>47</v>
      </c>
      <c r="C13" s="2" t="s">
        <v>13</v>
      </c>
      <c r="D13" s="2" t="s">
        <v>14</v>
      </c>
      <c r="E13" s="2"/>
      <c r="F13" s="2" t="s">
        <v>48</v>
      </c>
      <c r="G13" s="2" t="s">
        <v>49</v>
      </c>
      <c r="H13" s="2" t="s">
        <v>36</v>
      </c>
      <c r="I13" s="2" t="s">
        <v>50</v>
      </c>
    </row>
    <row r="14" spans="1:9" ht="15">
      <c r="A14" s="2" t="s">
        <v>51</v>
      </c>
      <c r="B14" s="2" t="s">
        <v>51</v>
      </c>
      <c r="C14" s="2" t="s">
        <v>13</v>
      </c>
      <c r="D14" s="2" t="s">
        <v>14</v>
      </c>
      <c r="E14" s="2"/>
      <c r="F14" s="2" t="s">
        <v>48</v>
      </c>
      <c r="G14" s="2" t="s">
        <v>49</v>
      </c>
      <c r="H14" s="2" t="s">
        <v>36</v>
      </c>
      <c r="I14" s="2" t="s">
        <v>52</v>
      </c>
    </row>
    <row r="15" spans="1:9" ht="15">
      <c r="A15" s="2" t="s">
        <v>53</v>
      </c>
      <c r="B15" s="2" t="s">
        <v>53</v>
      </c>
      <c r="C15" s="2" t="s">
        <v>13</v>
      </c>
      <c r="D15" s="2" t="s">
        <v>14</v>
      </c>
      <c r="E15" s="2"/>
      <c r="F15" s="2" t="s">
        <v>48</v>
      </c>
      <c r="G15" s="2" t="s">
        <v>49</v>
      </c>
      <c r="H15" s="2" t="s">
        <v>36</v>
      </c>
      <c r="I15" s="2" t="s">
        <v>54</v>
      </c>
    </row>
    <row r="16" spans="1:9" ht="15">
      <c r="A16" s="2" t="s">
        <v>55</v>
      </c>
      <c r="B16" s="2" t="s">
        <v>55</v>
      </c>
      <c r="C16" s="2" t="s">
        <v>13</v>
      </c>
      <c r="D16" s="2" t="s">
        <v>14</v>
      </c>
      <c r="E16" s="2"/>
      <c r="F16" s="2" t="s">
        <v>48</v>
      </c>
      <c r="G16" s="2" t="s">
        <v>49</v>
      </c>
      <c r="H16" s="2" t="s">
        <v>36</v>
      </c>
      <c r="I16" s="2" t="s">
        <v>56</v>
      </c>
    </row>
    <row r="17" spans="1:9" ht="15">
      <c r="A17" s="2" t="s">
        <v>57</v>
      </c>
      <c r="B17" s="2" t="s">
        <v>57</v>
      </c>
      <c r="C17" s="2" t="s">
        <v>13</v>
      </c>
      <c r="D17" s="2" t="s">
        <v>14</v>
      </c>
      <c r="E17" s="2"/>
      <c r="F17" s="2" t="s">
        <v>48</v>
      </c>
      <c r="G17" s="2" t="s">
        <v>49</v>
      </c>
      <c r="H17" s="2" t="s">
        <v>36</v>
      </c>
      <c r="I17" s="2" t="s">
        <v>58</v>
      </c>
    </row>
    <row r="18" spans="1:9" ht="15">
      <c r="A18" s="2" t="s">
        <v>59</v>
      </c>
      <c r="B18" s="2" t="s">
        <v>59</v>
      </c>
      <c r="C18" s="2" t="s">
        <v>13</v>
      </c>
      <c r="D18" s="2" t="s">
        <v>14</v>
      </c>
      <c r="E18" s="2"/>
      <c r="F18" s="2" t="s">
        <v>60</v>
      </c>
      <c r="G18" s="2" t="s">
        <v>61</v>
      </c>
      <c r="H18" s="2" t="s">
        <v>36</v>
      </c>
      <c r="I18" s="2" t="s">
        <v>62</v>
      </c>
    </row>
    <row r="19" spans="1:9" ht="15">
      <c r="A19" s="2" t="s">
        <v>63</v>
      </c>
      <c r="B19" s="2" t="s">
        <v>63</v>
      </c>
      <c r="C19" s="2" t="s">
        <v>13</v>
      </c>
      <c r="D19" s="2" t="s">
        <v>14</v>
      </c>
      <c r="E19" s="2"/>
      <c r="F19" s="2" t="s">
        <v>60</v>
      </c>
      <c r="G19" s="2" t="s">
        <v>61</v>
      </c>
      <c r="H19" s="2" t="s">
        <v>36</v>
      </c>
      <c r="I19" s="2" t="s">
        <v>62</v>
      </c>
    </row>
    <row r="20" spans="1:9" ht="15">
      <c r="A20" s="2" t="s">
        <v>64</v>
      </c>
      <c r="B20" s="2" t="s">
        <v>64</v>
      </c>
      <c r="C20" s="2" t="s">
        <v>13</v>
      </c>
      <c r="D20" s="2" t="s">
        <v>14</v>
      </c>
      <c r="E20" s="2"/>
      <c r="F20" s="2" t="s">
        <v>60</v>
      </c>
      <c r="G20" s="2" t="s">
        <v>61</v>
      </c>
      <c r="H20" s="2" t="s">
        <v>36</v>
      </c>
      <c r="I20" s="2" t="s">
        <v>65</v>
      </c>
    </row>
    <row r="21" spans="1:9" ht="15">
      <c r="A21" s="2" t="s">
        <v>66</v>
      </c>
      <c r="B21" s="2" t="s">
        <v>66</v>
      </c>
      <c r="C21" s="2" t="s">
        <v>13</v>
      </c>
      <c r="D21" s="2" t="s">
        <v>14</v>
      </c>
      <c r="E21" s="2"/>
      <c r="F21" s="2" t="s">
        <v>67</v>
      </c>
      <c r="G21" s="2" t="s">
        <v>68</v>
      </c>
      <c r="H21" s="2" t="s">
        <v>18</v>
      </c>
      <c r="I21" s="2"/>
    </row>
    <row r="22" spans="1:9" ht="15">
      <c r="A22" s="2" t="s">
        <v>69</v>
      </c>
      <c r="B22" s="2" t="s">
        <v>69</v>
      </c>
      <c r="C22" s="2" t="s">
        <v>13</v>
      </c>
      <c r="D22" s="2" t="s">
        <v>14</v>
      </c>
      <c r="E22" s="2"/>
      <c r="F22" s="2" t="s">
        <v>67</v>
      </c>
      <c r="G22" s="2" t="s">
        <v>68</v>
      </c>
      <c r="H22" s="2" t="s">
        <v>18</v>
      </c>
      <c r="I22" s="2"/>
    </row>
    <row r="23" spans="1:9" ht="15">
      <c r="A23" s="2" t="s">
        <v>70</v>
      </c>
      <c r="B23" s="2" t="s">
        <v>70</v>
      </c>
      <c r="C23" s="2" t="s">
        <v>13</v>
      </c>
      <c r="D23" s="2" t="s">
        <v>14</v>
      </c>
      <c r="E23" s="2"/>
      <c r="F23" s="2" t="s">
        <v>67</v>
      </c>
      <c r="G23" s="2" t="s">
        <v>68</v>
      </c>
      <c r="H23" s="2" t="s">
        <v>18</v>
      </c>
      <c r="I23" s="2"/>
    </row>
    <row r="24" spans="1:9" ht="15">
      <c r="A24" s="2" t="s">
        <v>71</v>
      </c>
      <c r="B24" s="2" t="s">
        <v>71</v>
      </c>
      <c r="C24" s="2" t="s">
        <v>13</v>
      </c>
      <c r="D24" s="2" t="s">
        <v>14</v>
      </c>
      <c r="E24" s="2"/>
      <c r="F24" s="2" t="s">
        <v>67</v>
      </c>
      <c r="G24" s="2" t="s">
        <v>68</v>
      </c>
      <c r="H24" s="2" t="s">
        <v>18</v>
      </c>
      <c r="I24" s="2"/>
    </row>
    <row r="25" spans="1:9" ht="15">
      <c r="A25" s="2" t="s">
        <v>72</v>
      </c>
      <c r="B25" s="2" t="s">
        <v>72</v>
      </c>
      <c r="C25" s="2" t="s">
        <v>13</v>
      </c>
      <c r="D25" s="2" t="s">
        <v>14</v>
      </c>
      <c r="E25" s="2"/>
      <c r="F25" s="2" t="s">
        <v>73</v>
      </c>
      <c r="G25" s="2" t="s">
        <v>74</v>
      </c>
      <c r="H25" s="2" t="s">
        <v>36</v>
      </c>
      <c r="I25" s="2" t="s">
        <v>75</v>
      </c>
    </row>
    <row r="26" spans="1:9" ht="15">
      <c r="A26" s="2" t="s">
        <v>76</v>
      </c>
      <c r="B26" s="2" t="s">
        <v>76</v>
      </c>
      <c r="C26" s="2" t="s">
        <v>13</v>
      </c>
      <c r="D26" s="2" t="s">
        <v>14</v>
      </c>
      <c r="E26" s="2" t="s">
        <v>77</v>
      </c>
      <c r="F26" s="2" t="s">
        <v>78</v>
      </c>
      <c r="G26" s="2" t="s">
        <v>30</v>
      </c>
      <c r="H26" s="2" t="s">
        <v>36</v>
      </c>
      <c r="I26" s="2" t="s">
        <v>79</v>
      </c>
    </row>
    <row r="27" spans="1:9" ht="15">
      <c r="A27" s="2" t="s">
        <v>80</v>
      </c>
      <c r="B27" s="2" t="s">
        <v>80</v>
      </c>
      <c r="C27" s="2" t="s">
        <v>13</v>
      </c>
      <c r="D27" s="2" t="s">
        <v>14</v>
      </c>
      <c r="E27" s="2"/>
      <c r="F27" s="2" t="s">
        <v>81</v>
      </c>
      <c r="G27" s="2" t="s">
        <v>68</v>
      </c>
      <c r="H27" s="2" t="s">
        <v>18</v>
      </c>
      <c r="I27" s="2"/>
    </row>
    <row r="28" spans="1:9" ht="15">
      <c r="A28" s="2" t="s">
        <v>82</v>
      </c>
      <c r="B28" s="2" t="s">
        <v>82</v>
      </c>
      <c r="C28" s="2" t="s">
        <v>13</v>
      </c>
      <c r="D28" s="2" t="s">
        <v>14</v>
      </c>
      <c r="E28" s="2"/>
      <c r="F28" s="2" t="s">
        <v>48</v>
      </c>
      <c r="G28" s="2" t="s">
        <v>49</v>
      </c>
      <c r="H28" s="2" t="s">
        <v>36</v>
      </c>
      <c r="I28" s="2" t="s">
        <v>83</v>
      </c>
    </row>
  </sheetData>
  <mergeCells count="3">
    <mergeCell ref="A1:I1"/>
    <mergeCell ref="A2:I2"/>
    <mergeCell ref="A3:I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0"/>
  <sheetViews>
    <sheetView showGridLines="0" workbookViewId="0">
      <pane ySplit="5" topLeftCell="A25" activePane="bottomLeft" state="frozen"/>
      <selection pane="bottomLeft" sqref="A1:L1"/>
    </sheetView>
  </sheetViews>
  <sheetFormatPr baseColWidth="10" defaultColWidth="8.83203125" defaultRowHeight="14"/>
  <cols>
    <col min="1" max="1" width="19" customWidth="1"/>
    <col min="2" max="2" width="14" customWidth="1"/>
    <col min="3" max="4" width="19" customWidth="1"/>
    <col min="5" max="5" width="20" customWidth="1"/>
    <col min="6" max="6" width="38" customWidth="1"/>
    <col min="7" max="7" width="32" customWidth="1"/>
    <col min="8" max="9" width="15" customWidth="1"/>
    <col min="10" max="10" width="36" customWidth="1"/>
    <col min="11" max="11" width="17" customWidth="1"/>
    <col min="12" max="12" width="36" customWidth="1"/>
    <col min="13" max="13" width="20" customWidth="1"/>
  </cols>
  <sheetData>
    <row r="1" spans="1:13" ht="33" customHeight="1">
      <c r="A1" s="9" t="s">
        <v>84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3" ht="23" customHeight="1">
      <c r="A2" s="10" t="s">
        <v>85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3" ht="23" customHeight="1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5" spans="1:13" ht="34" customHeight="1">
      <c r="A5" s="1" t="s">
        <v>86</v>
      </c>
      <c r="B5" s="1" t="s">
        <v>87</v>
      </c>
      <c r="C5" s="1" t="s">
        <v>3</v>
      </c>
      <c r="D5" s="1" t="s">
        <v>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94</v>
      </c>
      <c r="L5" s="1" t="s">
        <v>95</v>
      </c>
      <c r="M5" s="3" t="s">
        <v>96</v>
      </c>
    </row>
    <row r="6" spans="1:13" ht="15">
      <c r="A6" s="2" t="s">
        <v>97</v>
      </c>
      <c r="B6" s="2" t="s">
        <v>98</v>
      </c>
      <c r="C6" s="2" t="s">
        <v>43</v>
      </c>
      <c r="D6" s="2" t="s">
        <v>44</v>
      </c>
      <c r="E6" s="2" t="s">
        <v>99</v>
      </c>
      <c r="F6" s="2"/>
      <c r="G6" s="2" t="s">
        <v>100</v>
      </c>
      <c r="H6" s="2"/>
      <c r="I6" s="2"/>
      <c r="J6" s="2" t="s">
        <v>101</v>
      </c>
      <c r="K6" s="2" t="s">
        <v>102</v>
      </c>
      <c r="L6" s="2" t="s">
        <v>103</v>
      </c>
      <c r="M6" t="str">
        <f t="shared" ref="M6:M69" si="0">IF(B6="","",B6&amp;"::"&amp;C6)</f>
        <v>CHN::address1</v>
      </c>
    </row>
    <row r="7" spans="1:13" ht="15">
      <c r="A7" s="2" t="s">
        <v>104</v>
      </c>
      <c r="B7" s="2" t="s">
        <v>105</v>
      </c>
      <c r="C7" s="2" t="s">
        <v>43</v>
      </c>
      <c r="D7" s="2" t="s">
        <v>44</v>
      </c>
      <c r="E7" s="2" t="s">
        <v>106</v>
      </c>
      <c r="F7" s="2"/>
      <c r="G7" s="2" t="s">
        <v>100</v>
      </c>
      <c r="H7" s="2"/>
      <c r="I7" s="2"/>
      <c r="J7" s="2" t="s">
        <v>101</v>
      </c>
      <c r="K7" s="2" t="s">
        <v>102</v>
      </c>
      <c r="L7" s="2" t="s">
        <v>107</v>
      </c>
      <c r="M7" t="str">
        <f t="shared" si="0"/>
        <v>FRA::address1</v>
      </c>
    </row>
    <row r="8" spans="1:13" ht="15">
      <c r="A8" s="2" t="s">
        <v>108</v>
      </c>
      <c r="B8" s="2" t="s">
        <v>109</v>
      </c>
      <c r="C8" s="2" t="s">
        <v>43</v>
      </c>
      <c r="D8" s="2" t="s">
        <v>44</v>
      </c>
      <c r="E8" s="2" t="s">
        <v>99</v>
      </c>
      <c r="F8" s="2"/>
      <c r="G8" s="2" t="s">
        <v>100</v>
      </c>
      <c r="H8" s="2"/>
      <c r="I8" s="2"/>
      <c r="J8" s="2" t="s">
        <v>101</v>
      </c>
      <c r="K8" s="2" t="s">
        <v>102</v>
      </c>
      <c r="L8" s="2" t="s">
        <v>110</v>
      </c>
      <c r="M8" t="str">
        <f t="shared" si="0"/>
        <v>HKG::address1</v>
      </c>
    </row>
    <row r="9" spans="1:13" ht="15">
      <c r="A9" s="2" t="s">
        <v>111</v>
      </c>
      <c r="B9" s="2" t="s">
        <v>112</v>
      </c>
      <c r="C9" s="2" t="s">
        <v>43</v>
      </c>
      <c r="D9" s="2" t="s">
        <v>44</v>
      </c>
      <c r="E9" s="2" t="s">
        <v>34</v>
      </c>
      <c r="F9" s="2"/>
      <c r="G9" s="2" t="s">
        <v>100</v>
      </c>
      <c r="H9" s="2"/>
      <c r="I9" s="2"/>
      <c r="J9" s="2" t="s">
        <v>101</v>
      </c>
      <c r="K9" s="2" t="s">
        <v>102</v>
      </c>
      <c r="L9" s="2" t="s">
        <v>113</v>
      </c>
      <c r="M9" t="str">
        <f t="shared" si="0"/>
        <v>JPN::address1</v>
      </c>
    </row>
    <row r="10" spans="1:13" ht="15">
      <c r="A10" s="2" t="s">
        <v>114</v>
      </c>
      <c r="B10" s="2" t="s">
        <v>115</v>
      </c>
      <c r="C10" s="2" t="s">
        <v>43</v>
      </c>
      <c r="D10" s="2" t="s">
        <v>44</v>
      </c>
      <c r="E10" s="2" t="s">
        <v>99</v>
      </c>
      <c r="F10" s="2"/>
      <c r="G10" s="2" t="s">
        <v>100</v>
      </c>
      <c r="H10" s="2"/>
      <c r="I10" s="2"/>
      <c r="J10" s="2" t="s">
        <v>101</v>
      </c>
      <c r="K10" s="2" t="s">
        <v>102</v>
      </c>
      <c r="L10" s="2" t="s">
        <v>116</v>
      </c>
      <c r="M10" t="str">
        <f t="shared" si="0"/>
        <v>NLD::address1</v>
      </c>
    </row>
    <row r="11" spans="1:13" ht="15">
      <c r="A11" s="2" t="s">
        <v>117</v>
      </c>
      <c r="B11" s="2" t="s">
        <v>118</v>
      </c>
      <c r="C11" s="2" t="s">
        <v>47</v>
      </c>
      <c r="D11" s="2"/>
      <c r="E11" s="2" t="s">
        <v>106</v>
      </c>
      <c r="F11" s="2"/>
      <c r="G11" s="2" t="s">
        <v>119</v>
      </c>
      <c r="H11" s="2"/>
      <c r="I11" s="2"/>
      <c r="J11" s="2" t="s">
        <v>120</v>
      </c>
      <c r="K11" s="2" t="s">
        <v>102</v>
      </c>
      <c r="L11" s="2" t="s">
        <v>121</v>
      </c>
      <c r="M11" t="str">
        <f t="shared" si="0"/>
        <v>AUS::address2</v>
      </c>
    </row>
    <row r="12" spans="1:13" ht="15">
      <c r="A12" s="2" t="s">
        <v>122</v>
      </c>
      <c r="B12" s="2" t="s">
        <v>123</v>
      </c>
      <c r="C12" s="2" t="s">
        <v>47</v>
      </c>
      <c r="D12" s="2"/>
      <c r="E12" s="2" t="s">
        <v>99</v>
      </c>
      <c r="F12" s="2"/>
      <c r="G12" s="2" t="s">
        <v>119</v>
      </c>
      <c r="H12" s="2"/>
      <c r="I12" s="2"/>
      <c r="J12" s="2" t="s">
        <v>120</v>
      </c>
      <c r="K12" s="2" t="s">
        <v>102</v>
      </c>
      <c r="L12" s="2" t="s">
        <v>124</v>
      </c>
      <c r="M12" t="str">
        <f t="shared" si="0"/>
        <v>CAN::address2</v>
      </c>
    </row>
    <row r="13" spans="1:13" ht="15">
      <c r="A13" s="2" t="s">
        <v>125</v>
      </c>
      <c r="B13" s="2" t="s">
        <v>126</v>
      </c>
      <c r="C13" s="2" t="s">
        <v>47</v>
      </c>
      <c r="D13" s="2"/>
      <c r="E13" s="2" t="s">
        <v>99</v>
      </c>
      <c r="F13" s="2"/>
      <c r="G13" s="2" t="s">
        <v>119</v>
      </c>
      <c r="H13" s="2"/>
      <c r="I13" s="2"/>
      <c r="J13" s="2" t="s">
        <v>120</v>
      </c>
      <c r="K13" s="2" t="s">
        <v>102</v>
      </c>
      <c r="L13" s="2" t="s">
        <v>127</v>
      </c>
      <c r="M13" t="str">
        <f t="shared" si="0"/>
        <v>CHE::address2</v>
      </c>
    </row>
    <row r="14" spans="1:13" ht="15">
      <c r="A14" s="2" t="s">
        <v>97</v>
      </c>
      <c r="B14" s="2" t="s">
        <v>98</v>
      </c>
      <c r="C14" s="2" t="s">
        <v>47</v>
      </c>
      <c r="D14" s="2"/>
      <c r="E14" s="2" t="s">
        <v>44</v>
      </c>
      <c r="F14" s="2"/>
      <c r="G14" s="2" t="s">
        <v>119</v>
      </c>
      <c r="H14" s="2"/>
      <c r="I14" s="2"/>
      <c r="J14" s="2" t="s">
        <v>120</v>
      </c>
      <c r="K14" s="2" t="s">
        <v>102</v>
      </c>
      <c r="L14" s="2" t="s">
        <v>103</v>
      </c>
      <c r="M14" t="str">
        <f t="shared" si="0"/>
        <v>CHN::address2</v>
      </c>
    </row>
    <row r="15" spans="1:13" ht="15">
      <c r="A15" s="2" t="s">
        <v>128</v>
      </c>
      <c r="B15" s="2" t="s">
        <v>129</v>
      </c>
      <c r="C15" s="2" t="s">
        <v>47</v>
      </c>
      <c r="D15" s="2"/>
      <c r="E15" s="2" t="s">
        <v>99</v>
      </c>
      <c r="F15" s="2"/>
      <c r="G15" s="2" t="s">
        <v>119</v>
      </c>
      <c r="H15" s="2"/>
      <c r="I15" s="2"/>
      <c r="J15" s="2" t="s">
        <v>120</v>
      </c>
      <c r="K15" s="2" t="s">
        <v>102</v>
      </c>
      <c r="L15" s="2" t="s">
        <v>130</v>
      </c>
      <c r="M15" t="str">
        <f t="shared" si="0"/>
        <v>COL::address2</v>
      </c>
    </row>
    <row r="16" spans="1:13" ht="15">
      <c r="A16" s="2" t="s">
        <v>131</v>
      </c>
      <c r="B16" s="2" t="s">
        <v>132</v>
      </c>
      <c r="C16" s="2" t="s">
        <v>47</v>
      </c>
      <c r="D16" s="2"/>
      <c r="E16" s="2" t="s">
        <v>44</v>
      </c>
      <c r="F16" s="2"/>
      <c r="G16" s="2" t="s">
        <v>119</v>
      </c>
      <c r="H16" s="2"/>
      <c r="I16" s="2"/>
      <c r="J16" s="2" t="s">
        <v>120</v>
      </c>
      <c r="K16" s="2" t="s">
        <v>102</v>
      </c>
      <c r="L16" s="2" t="s">
        <v>133</v>
      </c>
      <c r="M16" t="str">
        <f t="shared" si="0"/>
        <v>DEU::address2</v>
      </c>
    </row>
    <row r="17" spans="1:13" ht="15">
      <c r="A17" s="2" t="s">
        <v>134</v>
      </c>
      <c r="B17" s="2" t="s">
        <v>135</v>
      </c>
      <c r="C17" s="2" t="s">
        <v>47</v>
      </c>
      <c r="D17" s="2"/>
      <c r="E17" s="2" t="s">
        <v>106</v>
      </c>
      <c r="F17" s="2"/>
      <c r="G17" s="2" t="s">
        <v>119</v>
      </c>
      <c r="H17" s="2"/>
      <c r="I17" s="2"/>
      <c r="J17" s="2" t="s">
        <v>120</v>
      </c>
      <c r="K17" s="2" t="s">
        <v>102</v>
      </c>
      <c r="L17" s="2" t="s">
        <v>136</v>
      </c>
      <c r="M17" t="str">
        <f t="shared" si="0"/>
        <v>ESP::address2</v>
      </c>
    </row>
    <row r="18" spans="1:13" ht="15">
      <c r="A18" s="2" t="s">
        <v>104</v>
      </c>
      <c r="B18" s="2" t="s">
        <v>105</v>
      </c>
      <c r="C18" s="2" t="s">
        <v>47</v>
      </c>
      <c r="D18" s="2"/>
      <c r="E18" s="2" t="s">
        <v>44</v>
      </c>
      <c r="F18" s="2"/>
      <c r="G18" s="2" t="s">
        <v>119</v>
      </c>
      <c r="H18" s="2"/>
      <c r="I18" s="2"/>
      <c r="J18" s="2" t="s">
        <v>120</v>
      </c>
      <c r="K18" s="2" t="s">
        <v>102</v>
      </c>
      <c r="L18" s="2" t="s">
        <v>107</v>
      </c>
      <c r="M18" t="str">
        <f t="shared" si="0"/>
        <v>FRA::address2</v>
      </c>
    </row>
    <row r="19" spans="1:13" ht="15">
      <c r="A19" s="2" t="s">
        <v>137</v>
      </c>
      <c r="B19" s="2" t="s">
        <v>138</v>
      </c>
      <c r="C19" s="2" t="s">
        <v>47</v>
      </c>
      <c r="D19" s="2"/>
      <c r="E19" s="2" t="s">
        <v>99</v>
      </c>
      <c r="F19" s="2"/>
      <c r="G19" s="2" t="s">
        <v>119</v>
      </c>
      <c r="H19" s="2"/>
      <c r="I19" s="2"/>
      <c r="J19" s="2" t="s">
        <v>120</v>
      </c>
      <c r="K19" s="2" t="s">
        <v>102</v>
      </c>
      <c r="L19" s="2" t="s">
        <v>139</v>
      </c>
      <c r="M19" t="str">
        <f t="shared" si="0"/>
        <v>GBR::address2</v>
      </c>
    </row>
    <row r="20" spans="1:13" ht="15">
      <c r="A20" s="2" t="s">
        <v>108</v>
      </c>
      <c r="B20" s="2" t="s">
        <v>109</v>
      </c>
      <c r="C20" s="2" t="s">
        <v>47</v>
      </c>
      <c r="D20" s="2"/>
      <c r="E20" s="2" t="s">
        <v>44</v>
      </c>
      <c r="F20" s="2"/>
      <c r="G20" s="2" t="s">
        <v>119</v>
      </c>
      <c r="H20" s="2"/>
      <c r="I20" s="2"/>
      <c r="J20" s="2" t="s">
        <v>120</v>
      </c>
      <c r="K20" s="2" t="s">
        <v>102</v>
      </c>
      <c r="L20" s="2" t="s">
        <v>110</v>
      </c>
      <c r="M20" t="str">
        <f t="shared" si="0"/>
        <v>HKG::address2</v>
      </c>
    </row>
    <row r="21" spans="1:13" ht="15">
      <c r="A21" s="2" t="s">
        <v>140</v>
      </c>
      <c r="B21" s="2" t="s">
        <v>141</v>
      </c>
      <c r="C21" s="2" t="s">
        <v>47</v>
      </c>
      <c r="D21" s="2"/>
      <c r="E21" s="2" t="s">
        <v>99</v>
      </c>
      <c r="F21" s="2"/>
      <c r="G21" s="2" t="s">
        <v>119</v>
      </c>
      <c r="H21" s="2"/>
      <c r="I21" s="2"/>
      <c r="J21" s="2" t="s">
        <v>120</v>
      </c>
      <c r="K21" s="2" t="s">
        <v>102</v>
      </c>
      <c r="L21" s="2" t="s">
        <v>142</v>
      </c>
      <c r="M21" t="str">
        <f t="shared" si="0"/>
        <v>IRL::address2</v>
      </c>
    </row>
    <row r="22" spans="1:13" ht="15">
      <c r="A22" s="2" t="s">
        <v>143</v>
      </c>
      <c r="B22" s="2" t="s">
        <v>144</v>
      </c>
      <c r="C22" s="2" t="s">
        <v>47</v>
      </c>
      <c r="D22" s="2"/>
      <c r="E22" s="2" t="s">
        <v>106</v>
      </c>
      <c r="F22" s="2"/>
      <c r="G22" s="2" t="s">
        <v>119</v>
      </c>
      <c r="H22" s="2"/>
      <c r="I22" s="2"/>
      <c r="J22" s="2" t="s">
        <v>120</v>
      </c>
      <c r="K22" s="2" t="s">
        <v>102</v>
      </c>
      <c r="L22" s="2" t="s">
        <v>145</v>
      </c>
      <c r="M22" t="str">
        <f t="shared" si="0"/>
        <v>IND::address2</v>
      </c>
    </row>
    <row r="23" spans="1:13" ht="15">
      <c r="A23" s="2" t="s">
        <v>111</v>
      </c>
      <c r="B23" s="2" t="s">
        <v>112</v>
      </c>
      <c r="C23" s="2" t="s">
        <v>47</v>
      </c>
      <c r="D23" s="2"/>
      <c r="E23" s="2" t="s">
        <v>146</v>
      </c>
      <c r="F23" s="2"/>
      <c r="G23" s="2" t="s">
        <v>119</v>
      </c>
      <c r="H23" s="2"/>
      <c r="I23" s="2"/>
      <c r="J23" s="2" t="s">
        <v>120</v>
      </c>
      <c r="K23" s="2" t="s">
        <v>102</v>
      </c>
      <c r="L23" s="2" t="s">
        <v>113</v>
      </c>
      <c r="M23" t="str">
        <f t="shared" si="0"/>
        <v>JPN::address2</v>
      </c>
    </row>
    <row r="24" spans="1:13" ht="15">
      <c r="A24" s="2" t="s">
        <v>114</v>
      </c>
      <c r="B24" s="2" t="s">
        <v>115</v>
      </c>
      <c r="C24" s="2" t="s">
        <v>47</v>
      </c>
      <c r="D24" s="2"/>
      <c r="E24" s="2" t="s">
        <v>34</v>
      </c>
      <c r="F24" s="2"/>
      <c r="G24" s="2" t="s">
        <v>119</v>
      </c>
      <c r="H24" s="2"/>
      <c r="I24" s="2"/>
      <c r="J24" s="2" t="s">
        <v>120</v>
      </c>
      <c r="K24" s="2" t="s">
        <v>102</v>
      </c>
      <c r="L24" s="2" t="s">
        <v>116</v>
      </c>
      <c r="M24" t="str">
        <f t="shared" si="0"/>
        <v>NLD::address2</v>
      </c>
    </row>
    <row r="25" spans="1:13" ht="15">
      <c r="A25" s="2" t="s">
        <v>147</v>
      </c>
      <c r="B25" s="2" t="s">
        <v>148</v>
      </c>
      <c r="C25" s="2" t="s">
        <v>47</v>
      </c>
      <c r="D25" s="2"/>
      <c r="E25" s="2" t="s">
        <v>99</v>
      </c>
      <c r="F25" s="2"/>
      <c r="G25" s="2" t="s">
        <v>119</v>
      </c>
      <c r="H25" s="2"/>
      <c r="I25" s="2"/>
      <c r="J25" s="2" t="s">
        <v>120</v>
      </c>
      <c r="K25" s="2" t="s">
        <v>102</v>
      </c>
      <c r="L25" s="2" t="s">
        <v>149</v>
      </c>
      <c r="M25" t="str">
        <f t="shared" si="0"/>
        <v>USA::address2</v>
      </c>
    </row>
    <row r="26" spans="1:13" ht="15">
      <c r="A26" s="2" t="s">
        <v>125</v>
      </c>
      <c r="B26" s="2" t="s">
        <v>126</v>
      </c>
      <c r="C26" s="2" t="s">
        <v>72</v>
      </c>
      <c r="D26" s="2"/>
      <c r="E26" s="2" t="s">
        <v>150</v>
      </c>
      <c r="F26" s="2"/>
      <c r="G26" s="2" t="s">
        <v>151</v>
      </c>
      <c r="H26" s="2"/>
      <c r="I26" s="2"/>
      <c r="J26" s="2" t="s">
        <v>152</v>
      </c>
      <c r="K26" s="2" t="s">
        <v>102</v>
      </c>
      <c r="L26" s="2" t="s">
        <v>127</v>
      </c>
      <c r="M26" t="str">
        <f t="shared" si="0"/>
        <v>CHE::address20</v>
      </c>
    </row>
    <row r="27" spans="1:13" ht="15">
      <c r="A27" s="2" t="s">
        <v>117</v>
      </c>
      <c r="B27" s="2" t="s">
        <v>118</v>
      </c>
      <c r="C27" s="2" t="s">
        <v>51</v>
      </c>
      <c r="D27" s="2"/>
      <c r="E27" s="2" t="s">
        <v>153</v>
      </c>
      <c r="F27" s="2"/>
      <c r="G27" s="2" t="s">
        <v>119</v>
      </c>
      <c r="H27" s="2"/>
      <c r="I27" s="2"/>
      <c r="J27" s="2" t="s">
        <v>154</v>
      </c>
      <c r="K27" s="2" t="s">
        <v>102</v>
      </c>
      <c r="L27" s="2" t="s">
        <v>155</v>
      </c>
      <c r="M27" t="str">
        <f t="shared" si="0"/>
        <v>AUS::address3</v>
      </c>
    </row>
    <row r="28" spans="1:13" ht="15">
      <c r="A28" s="2" t="s">
        <v>97</v>
      </c>
      <c r="B28" s="2" t="s">
        <v>98</v>
      </c>
      <c r="C28" s="2" t="s">
        <v>51</v>
      </c>
      <c r="D28" s="2"/>
      <c r="E28" s="2" t="s">
        <v>146</v>
      </c>
      <c r="F28" s="2"/>
      <c r="G28" s="2" t="s">
        <v>119</v>
      </c>
      <c r="H28" s="2"/>
      <c r="I28" s="2"/>
      <c r="J28" s="2" t="s">
        <v>154</v>
      </c>
      <c r="K28" s="2" t="s">
        <v>102</v>
      </c>
      <c r="L28" s="2" t="s">
        <v>156</v>
      </c>
      <c r="M28" t="str">
        <f t="shared" si="0"/>
        <v>CHN::address3</v>
      </c>
    </row>
    <row r="29" spans="1:13" ht="15">
      <c r="A29" s="2" t="s">
        <v>131</v>
      </c>
      <c r="B29" s="2" t="s">
        <v>132</v>
      </c>
      <c r="C29" s="2" t="s">
        <v>51</v>
      </c>
      <c r="D29" s="2"/>
      <c r="E29" s="2" t="s">
        <v>146</v>
      </c>
      <c r="F29" s="2"/>
      <c r="G29" s="2" t="s">
        <v>119</v>
      </c>
      <c r="H29" s="2"/>
      <c r="I29" s="2"/>
      <c r="J29" s="2" t="s">
        <v>154</v>
      </c>
      <c r="K29" s="2" t="s">
        <v>102</v>
      </c>
      <c r="L29" s="2" t="s">
        <v>157</v>
      </c>
      <c r="M29" t="str">
        <f t="shared" si="0"/>
        <v>DEU::address3</v>
      </c>
    </row>
    <row r="30" spans="1:13">
      <c r="A30" t="s">
        <v>134</v>
      </c>
      <c r="B30" t="s">
        <v>135</v>
      </c>
      <c r="C30" t="s">
        <v>51</v>
      </c>
      <c r="E30" t="s">
        <v>153</v>
      </c>
      <c r="G30" t="s">
        <v>119</v>
      </c>
      <c r="J30" t="s">
        <v>154</v>
      </c>
      <c r="K30" t="s">
        <v>102</v>
      </c>
      <c r="L30" t="s">
        <v>158</v>
      </c>
      <c r="M30" t="str">
        <f t="shared" si="0"/>
        <v>ESP::address3</v>
      </c>
    </row>
    <row r="31" spans="1:13">
      <c r="A31" t="s">
        <v>104</v>
      </c>
      <c r="B31" t="s">
        <v>105</v>
      </c>
      <c r="C31" t="s">
        <v>51</v>
      </c>
      <c r="E31" t="s">
        <v>99</v>
      </c>
      <c r="G31" t="s">
        <v>119</v>
      </c>
      <c r="J31" t="s">
        <v>154</v>
      </c>
      <c r="K31" t="s">
        <v>102</v>
      </c>
      <c r="L31" t="s">
        <v>159</v>
      </c>
      <c r="M31" t="str">
        <f t="shared" si="0"/>
        <v>FRA::address3</v>
      </c>
    </row>
    <row r="32" spans="1:13">
      <c r="A32" t="s">
        <v>137</v>
      </c>
      <c r="B32" t="s">
        <v>138</v>
      </c>
      <c r="C32" t="s">
        <v>51</v>
      </c>
      <c r="E32" t="s">
        <v>146</v>
      </c>
      <c r="G32" t="s">
        <v>119</v>
      </c>
      <c r="J32" t="s">
        <v>154</v>
      </c>
      <c r="K32" t="s">
        <v>102</v>
      </c>
      <c r="L32" t="s">
        <v>160</v>
      </c>
      <c r="M32" t="str">
        <f t="shared" si="0"/>
        <v>GBR::address3</v>
      </c>
    </row>
    <row r="33" spans="1:13">
      <c r="A33" t="s">
        <v>108</v>
      </c>
      <c r="B33" t="s">
        <v>109</v>
      </c>
      <c r="C33" t="s">
        <v>51</v>
      </c>
      <c r="E33" t="s">
        <v>161</v>
      </c>
      <c r="G33" t="s">
        <v>119</v>
      </c>
      <c r="J33" t="s">
        <v>154</v>
      </c>
      <c r="K33" t="s">
        <v>102</v>
      </c>
      <c r="L33" t="s">
        <v>162</v>
      </c>
      <c r="M33" t="str">
        <f t="shared" si="0"/>
        <v>HKG::address3</v>
      </c>
    </row>
    <row r="34" spans="1:13">
      <c r="A34" t="s">
        <v>140</v>
      </c>
      <c r="B34" t="s">
        <v>141</v>
      </c>
      <c r="C34" t="s">
        <v>51</v>
      </c>
      <c r="E34" t="s">
        <v>146</v>
      </c>
      <c r="G34" t="s">
        <v>119</v>
      </c>
      <c r="J34" t="s">
        <v>154</v>
      </c>
      <c r="K34" t="s">
        <v>102</v>
      </c>
      <c r="L34" t="s">
        <v>163</v>
      </c>
      <c r="M34" t="str">
        <f t="shared" si="0"/>
        <v>IRL::address3</v>
      </c>
    </row>
    <row r="35" spans="1:13">
      <c r="A35" t="s">
        <v>143</v>
      </c>
      <c r="B35" t="s">
        <v>144</v>
      </c>
      <c r="C35" t="s">
        <v>51</v>
      </c>
      <c r="E35" t="s">
        <v>99</v>
      </c>
      <c r="G35" t="s">
        <v>119</v>
      </c>
      <c r="J35" t="s">
        <v>154</v>
      </c>
      <c r="K35" t="s">
        <v>102</v>
      </c>
      <c r="L35" t="s">
        <v>164</v>
      </c>
      <c r="M35" t="str">
        <f t="shared" si="0"/>
        <v>IND::address3</v>
      </c>
    </row>
    <row r="36" spans="1:13">
      <c r="A36" t="s">
        <v>111</v>
      </c>
      <c r="B36" t="s">
        <v>112</v>
      </c>
      <c r="C36" t="s">
        <v>51</v>
      </c>
      <c r="E36" t="s">
        <v>44</v>
      </c>
      <c r="G36" t="s">
        <v>119</v>
      </c>
      <c r="J36" t="s">
        <v>154</v>
      </c>
      <c r="K36" t="s">
        <v>102</v>
      </c>
      <c r="L36" t="s">
        <v>165</v>
      </c>
      <c r="M36" t="str">
        <f t="shared" si="0"/>
        <v>JPN::address3</v>
      </c>
    </row>
    <row r="37" spans="1:13">
      <c r="A37" t="s">
        <v>114</v>
      </c>
      <c r="B37" t="s">
        <v>115</v>
      </c>
      <c r="C37" t="s">
        <v>51</v>
      </c>
      <c r="E37" t="s">
        <v>44</v>
      </c>
      <c r="G37" t="s">
        <v>119</v>
      </c>
      <c r="J37" t="s">
        <v>154</v>
      </c>
      <c r="K37" t="s">
        <v>102</v>
      </c>
      <c r="L37" t="s">
        <v>166</v>
      </c>
      <c r="M37" t="str">
        <f t="shared" si="0"/>
        <v>NLD::address3</v>
      </c>
    </row>
    <row r="38" spans="1:13">
      <c r="A38" t="s">
        <v>117</v>
      </c>
      <c r="B38" t="s">
        <v>118</v>
      </c>
      <c r="C38" t="s">
        <v>53</v>
      </c>
      <c r="E38" t="s">
        <v>99</v>
      </c>
      <c r="G38" t="s">
        <v>119</v>
      </c>
      <c r="J38" t="s">
        <v>167</v>
      </c>
      <c r="K38" t="s">
        <v>102</v>
      </c>
      <c r="L38" t="s">
        <v>155</v>
      </c>
      <c r="M38" t="str">
        <f t="shared" si="0"/>
        <v>AUS::address4</v>
      </c>
    </row>
    <row r="39" spans="1:13">
      <c r="A39" t="s">
        <v>131</v>
      </c>
      <c r="B39" t="s">
        <v>132</v>
      </c>
      <c r="C39" t="s">
        <v>53</v>
      </c>
      <c r="E39" t="s">
        <v>150</v>
      </c>
      <c r="G39" t="s">
        <v>119</v>
      </c>
      <c r="J39" t="s">
        <v>167</v>
      </c>
      <c r="K39" t="s">
        <v>102</v>
      </c>
      <c r="L39" t="s">
        <v>157</v>
      </c>
      <c r="M39" t="str">
        <f t="shared" si="0"/>
        <v>DEU::address4</v>
      </c>
    </row>
    <row r="40" spans="1:13">
      <c r="A40" t="s">
        <v>134</v>
      </c>
      <c r="B40" t="s">
        <v>135</v>
      </c>
      <c r="C40" t="s">
        <v>53</v>
      </c>
      <c r="E40" t="s">
        <v>168</v>
      </c>
      <c r="G40" t="s">
        <v>119</v>
      </c>
      <c r="J40" t="s">
        <v>167</v>
      </c>
      <c r="K40" t="s">
        <v>102</v>
      </c>
      <c r="L40" t="s">
        <v>158</v>
      </c>
      <c r="M40" t="str">
        <f t="shared" si="0"/>
        <v>ESP::address4</v>
      </c>
    </row>
    <row r="41" spans="1:13">
      <c r="A41" t="s">
        <v>104</v>
      </c>
      <c r="B41" t="s">
        <v>105</v>
      </c>
      <c r="C41" t="s">
        <v>53</v>
      </c>
      <c r="E41" t="s">
        <v>169</v>
      </c>
      <c r="G41" t="s">
        <v>119</v>
      </c>
      <c r="J41" t="s">
        <v>167</v>
      </c>
      <c r="K41" t="s">
        <v>102</v>
      </c>
      <c r="L41" t="s">
        <v>159</v>
      </c>
      <c r="M41" t="str">
        <f t="shared" si="0"/>
        <v>FRA::address4</v>
      </c>
    </row>
    <row r="42" spans="1:13">
      <c r="A42" t="s">
        <v>111</v>
      </c>
      <c r="B42" t="s">
        <v>112</v>
      </c>
      <c r="C42" t="s">
        <v>53</v>
      </c>
      <c r="E42" t="s">
        <v>170</v>
      </c>
      <c r="G42" t="s">
        <v>119</v>
      </c>
      <c r="J42" t="s">
        <v>167</v>
      </c>
      <c r="K42" t="s">
        <v>102</v>
      </c>
      <c r="L42" t="s">
        <v>165</v>
      </c>
      <c r="M42" t="str">
        <f t="shared" si="0"/>
        <v>JPN::address4</v>
      </c>
    </row>
    <row r="43" spans="1:13">
      <c r="A43" t="s">
        <v>114</v>
      </c>
      <c r="B43" t="s">
        <v>115</v>
      </c>
      <c r="C43" t="s">
        <v>53</v>
      </c>
      <c r="E43" t="s">
        <v>106</v>
      </c>
      <c r="G43" t="s">
        <v>119</v>
      </c>
      <c r="J43" t="s">
        <v>167</v>
      </c>
      <c r="K43" t="s">
        <v>102</v>
      </c>
      <c r="L43" t="s">
        <v>166</v>
      </c>
      <c r="M43" t="str">
        <f t="shared" si="0"/>
        <v>NLD::address4</v>
      </c>
    </row>
    <row r="44" spans="1:13">
      <c r="A44" t="s">
        <v>171</v>
      </c>
      <c r="B44" t="s">
        <v>172</v>
      </c>
      <c r="C44" t="s">
        <v>55</v>
      </c>
      <c r="E44" t="s">
        <v>150</v>
      </c>
      <c r="G44" t="s">
        <v>119</v>
      </c>
      <c r="J44" t="s">
        <v>173</v>
      </c>
      <c r="K44" t="s">
        <v>102</v>
      </c>
      <c r="L44" t="s">
        <v>174</v>
      </c>
      <c r="M44" t="str">
        <f t="shared" si="0"/>
        <v>BEL::address5</v>
      </c>
    </row>
    <row r="45" spans="1:13">
      <c r="A45" t="s">
        <v>134</v>
      </c>
      <c r="B45" t="s">
        <v>135</v>
      </c>
      <c r="C45" t="s">
        <v>55</v>
      </c>
      <c r="E45" t="s">
        <v>99</v>
      </c>
      <c r="G45" t="s">
        <v>119</v>
      </c>
      <c r="J45" t="s">
        <v>173</v>
      </c>
      <c r="K45" t="s">
        <v>102</v>
      </c>
      <c r="L45" t="s">
        <v>158</v>
      </c>
      <c r="M45" t="str">
        <f t="shared" si="0"/>
        <v>ESP::address5</v>
      </c>
    </row>
    <row r="46" spans="1:13">
      <c r="A46" t="s">
        <v>104</v>
      </c>
      <c r="B46" t="s">
        <v>105</v>
      </c>
      <c r="C46" t="s">
        <v>55</v>
      </c>
      <c r="E46" t="s">
        <v>175</v>
      </c>
      <c r="G46" t="s">
        <v>119</v>
      </c>
      <c r="J46" t="s">
        <v>173</v>
      </c>
      <c r="K46" t="s">
        <v>102</v>
      </c>
      <c r="L46" t="s">
        <v>159</v>
      </c>
      <c r="M46" t="str">
        <f t="shared" si="0"/>
        <v>FRA::address5</v>
      </c>
    </row>
    <row r="47" spans="1:13">
      <c r="A47" t="s">
        <v>111</v>
      </c>
      <c r="B47" t="s">
        <v>112</v>
      </c>
      <c r="C47" t="s">
        <v>55</v>
      </c>
      <c r="E47" t="s">
        <v>175</v>
      </c>
      <c r="G47" t="s">
        <v>119</v>
      </c>
      <c r="J47" t="s">
        <v>173</v>
      </c>
      <c r="K47" t="s">
        <v>102</v>
      </c>
      <c r="L47" t="s">
        <v>165</v>
      </c>
      <c r="M47" t="str">
        <f t="shared" si="0"/>
        <v>JPN::address5</v>
      </c>
    </row>
    <row r="48" spans="1:13">
      <c r="A48" t="s">
        <v>114</v>
      </c>
      <c r="B48" t="s">
        <v>115</v>
      </c>
      <c r="C48" t="s">
        <v>55</v>
      </c>
      <c r="E48" t="s">
        <v>153</v>
      </c>
      <c r="G48" t="s">
        <v>119</v>
      </c>
      <c r="J48" t="s">
        <v>173</v>
      </c>
      <c r="K48" t="s">
        <v>102</v>
      </c>
      <c r="L48" t="s">
        <v>166</v>
      </c>
      <c r="M48" t="str">
        <f t="shared" si="0"/>
        <v>NLD::address5</v>
      </c>
    </row>
    <row r="49" spans="1:13">
      <c r="A49" t="s">
        <v>134</v>
      </c>
      <c r="B49" t="s">
        <v>135</v>
      </c>
      <c r="C49" t="s">
        <v>57</v>
      </c>
      <c r="E49" t="s">
        <v>146</v>
      </c>
      <c r="G49" t="s">
        <v>119</v>
      </c>
      <c r="J49" t="s">
        <v>176</v>
      </c>
      <c r="K49" t="s">
        <v>102</v>
      </c>
      <c r="L49" t="s">
        <v>158</v>
      </c>
      <c r="M49" t="str">
        <f t="shared" si="0"/>
        <v>ESP::address6</v>
      </c>
    </row>
    <row r="50" spans="1:13">
      <c r="A50" t="s">
        <v>111</v>
      </c>
      <c r="B50" t="s">
        <v>112</v>
      </c>
      <c r="C50" t="s">
        <v>57</v>
      </c>
      <c r="E50" t="s">
        <v>99</v>
      </c>
      <c r="G50" t="s">
        <v>119</v>
      </c>
      <c r="J50" t="s">
        <v>176</v>
      </c>
      <c r="K50" t="s">
        <v>102</v>
      </c>
      <c r="L50" t="s">
        <v>165</v>
      </c>
      <c r="M50" t="str">
        <f t="shared" si="0"/>
        <v>JPN::address6</v>
      </c>
    </row>
    <row r="51" spans="1:13">
      <c r="A51" t="s">
        <v>108</v>
      </c>
      <c r="B51" t="s">
        <v>109</v>
      </c>
      <c r="C51" t="s">
        <v>33</v>
      </c>
      <c r="D51" t="s">
        <v>34</v>
      </c>
      <c r="E51" t="s">
        <v>177</v>
      </c>
      <c r="G51" t="s">
        <v>178</v>
      </c>
      <c r="J51" t="s">
        <v>179</v>
      </c>
      <c r="K51" t="s">
        <v>102</v>
      </c>
      <c r="L51" t="s">
        <v>110</v>
      </c>
      <c r="M51" t="str">
        <f t="shared" si="0"/>
        <v>HKG::city</v>
      </c>
    </row>
    <row r="52" spans="1:13">
      <c r="A52" t="s">
        <v>111</v>
      </c>
      <c r="B52" t="s">
        <v>112</v>
      </c>
      <c r="C52" t="s">
        <v>33</v>
      </c>
      <c r="D52" t="s">
        <v>34</v>
      </c>
      <c r="G52" t="s">
        <v>180</v>
      </c>
      <c r="J52" t="s">
        <v>179</v>
      </c>
      <c r="K52" t="s">
        <v>181</v>
      </c>
      <c r="L52" t="s">
        <v>182</v>
      </c>
      <c r="M52" t="str">
        <f t="shared" si="0"/>
        <v>JPN::city</v>
      </c>
    </row>
    <row r="53" spans="1:13">
      <c r="A53" t="s">
        <v>183</v>
      </c>
      <c r="B53" t="s">
        <v>184</v>
      </c>
      <c r="C53" t="s">
        <v>82</v>
      </c>
      <c r="E53" t="s">
        <v>146</v>
      </c>
      <c r="G53" t="s">
        <v>119</v>
      </c>
      <c r="J53" t="s">
        <v>185</v>
      </c>
      <c r="K53" t="s">
        <v>102</v>
      </c>
      <c r="L53" t="s">
        <v>186</v>
      </c>
      <c r="M53" t="str">
        <f t="shared" si="0"/>
        <v>AUT::county</v>
      </c>
    </row>
    <row r="54" spans="1:13">
      <c r="A54" t="s">
        <v>117</v>
      </c>
      <c r="B54" t="s">
        <v>118</v>
      </c>
      <c r="C54" t="s">
        <v>82</v>
      </c>
      <c r="E54" t="s">
        <v>146</v>
      </c>
      <c r="G54" t="s">
        <v>119</v>
      </c>
      <c r="J54" t="s">
        <v>185</v>
      </c>
      <c r="K54" t="s">
        <v>102</v>
      </c>
      <c r="L54" t="s">
        <v>121</v>
      </c>
      <c r="M54" t="str">
        <f t="shared" si="0"/>
        <v>AUS::county</v>
      </c>
    </row>
    <row r="55" spans="1:13">
      <c r="A55" t="s">
        <v>125</v>
      </c>
      <c r="B55" t="s">
        <v>126</v>
      </c>
      <c r="C55" t="s">
        <v>82</v>
      </c>
      <c r="E55" t="s">
        <v>146</v>
      </c>
      <c r="G55" t="s">
        <v>119</v>
      </c>
      <c r="J55" t="s">
        <v>185</v>
      </c>
      <c r="K55" t="s">
        <v>102</v>
      </c>
      <c r="L55" t="s">
        <v>127</v>
      </c>
      <c r="M55" t="str">
        <f t="shared" si="0"/>
        <v>CHE::county</v>
      </c>
    </row>
    <row r="56" spans="1:13">
      <c r="A56" t="s">
        <v>104</v>
      </c>
      <c r="B56" t="s">
        <v>105</v>
      </c>
      <c r="C56" t="s">
        <v>82</v>
      </c>
      <c r="E56" t="s">
        <v>146</v>
      </c>
      <c r="G56" t="s">
        <v>119</v>
      </c>
      <c r="J56" t="s">
        <v>185</v>
      </c>
      <c r="K56" t="s">
        <v>102</v>
      </c>
      <c r="L56" t="s">
        <v>107</v>
      </c>
      <c r="M56" t="str">
        <f t="shared" si="0"/>
        <v>FRA::county</v>
      </c>
    </row>
    <row r="57" spans="1:13">
      <c r="A57" t="s">
        <v>137</v>
      </c>
      <c r="B57" t="s">
        <v>138</v>
      </c>
      <c r="C57" t="s">
        <v>82</v>
      </c>
      <c r="E57" t="s">
        <v>77</v>
      </c>
      <c r="G57" t="s">
        <v>119</v>
      </c>
      <c r="J57" t="s">
        <v>185</v>
      </c>
      <c r="K57" t="s">
        <v>102</v>
      </c>
      <c r="L57" t="s">
        <v>139</v>
      </c>
      <c r="M57" t="str">
        <f t="shared" si="0"/>
        <v>GBR::county</v>
      </c>
    </row>
    <row r="58" spans="1:13">
      <c r="A58" t="s">
        <v>140</v>
      </c>
      <c r="B58" t="s">
        <v>141</v>
      </c>
      <c r="C58" t="s">
        <v>82</v>
      </c>
      <c r="E58" t="s">
        <v>77</v>
      </c>
      <c r="G58" t="s">
        <v>119</v>
      </c>
      <c r="J58" t="s">
        <v>185</v>
      </c>
      <c r="K58" t="s">
        <v>102</v>
      </c>
      <c r="L58" t="s">
        <v>142</v>
      </c>
      <c r="M58" t="str">
        <f t="shared" si="0"/>
        <v>IRL::county</v>
      </c>
    </row>
    <row r="59" spans="1:13">
      <c r="A59" t="s">
        <v>143</v>
      </c>
      <c r="B59" t="s">
        <v>144</v>
      </c>
      <c r="C59" t="s">
        <v>82</v>
      </c>
      <c r="E59" t="s">
        <v>146</v>
      </c>
      <c r="G59" t="s">
        <v>119</v>
      </c>
      <c r="J59" t="s">
        <v>185</v>
      </c>
      <c r="K59" t="s">
        <v>102</v>
      </c>
      <c r="L59" t="s">
        <v>145</v>
      </c>
      <c r="M59" t="str">
        <f t="shared" si="0"/>
        <v>IND::county</v>
      </c>
    </row>
    <row r="60" spans="1:13">
      <c r="A60" t="s">
        <v>111</v>
      </c>
      <c r="B60" t="s">
        <v>112</v>
      </c>
      <c r="C60" t="s">
        <v>82</v>
      </c>
      <c r="E60" t="s">
        <v>177</v>
      </c>
      <c r="G60" t="s">
        <v>119</v>
      </c>
      <c r="J60" t="s">
        <v>185</v>
      </c>
      <c r="K60" t="s">
        <v>102</v>
      </c>
      <c r="L60" t="s">
        <v>113</v>
      </c>
      <c r="M60" t="str">
        <f t="shared" si="0"/>
        <v>JPN::county</v>
      </c>
    </row>
    <row r="61" spans="1:13">
      <c r="A61" t="s">
        <v>147</v>
      </c>
      <c r="B61" t="s">
        <v>148</v>
      </c>
      <c r="C61" t="s">
        <v>82</v>
      </c>
      <c r="E61" t="s">
        <v>146</v>
      </c>
      <c r="G61" t="s">
        <v>119</v>
      </c>
      <c r="J61" t="s">
        <v>185</v>
      </c>
      <c r="K61" t="s">
        <v>102</v>
      </c>
      <c r="L61" t="s">
        <v>149</v>
      </c>
      <c r="M61" t="str">
        <f t="shared" si="0"/>
        <v>USA::county</v>
      </c>
    </row>
    <row r="62" spans="1:13">
      <c r="M62" t="str">
        <f t="shared" si="0"/>
        <v/>
      </c>
    </row>
    <row r="63" spans="1:13">
      <c r="M63" t="str">
        <f t="shared" si="0"/>
        <v/>
      </c>
    </row>
    <row r="64" spans="1:13">
      <c r="M64" t="str">
        <f t="shared" si="0"/>
        <v/>
      </c>
    </row>
    <row r="65" spans="13:13">
      <c r="M65" t="str">
        <f t="shared" si="0"/>
        <v/>
      </c>
    </row>
    <row r="66" spans="13:13">
      <c r="M66" t="str">
        <f t="shared" si="0"/>
        <v/>
      </c>
    </row>
    <row r="67" spans="13:13">
      <c r="M67" t="str">
        <f t="shared" si="0"/>
        <v/>
      </c>
    </row>
    <row r="68" spans="13:13">
      <c r="M68" t="str">
        <f t="shared" si="0"/>
        <v/>
      </c>
    </row>
    <row r="69" spans="13:13">
      <c r="M69" t="str">
        <f t="shared" si="0"/>
        <v/>
      </c>
    </row>
    <row r="70" spans="13:13">
      <c r="M70" t="str">
        <f t="shared" ref="M70:M133" si="1">IF(B70="","",B70&amp;"::"&amp;C70)</f>
        <v/>
      </c>
    </row>
    <row r="71" spans="13:13">
      <c r="M71" t="str">
        <f t="shared" si="1"/>
        <v/>
      </c>
    </row>
    <row r="72" spans="13:13">
      <c r="M72" t="str">
        <f t="shared" si="1"/>
        <v/>
      </c>
    </row>
    <row r="73" spans="13:13">
      <c r="M73" t="str">
        <f t="shared" si="1"/>
        <v/>
      </c>
    </row>
    <row r="74" spans="13:13">
      <c r="M74" t="str">
        <f t="shared" si="1"/>
        <v/>
      </c>
    </row>
    <row r="75" spans="13:13">
      <c r="M75" t="str">
        <f t="shared" si="1"/>
        <v/>
      </c>
    </row>
    <row r="76" spans="13:13">
      <c r="M76" t="str">
        <f t="shared" si="1"/>
        <v/>
      </c>
    </row>
    <row r="77" spans="13:13">
      <c r="M77" t="str">
        <f t="shared" si="1"/>
        <v/>
      </c>
    </row>
    <row r="78" spans="13:13">
      <c r="M78" t="str">
        <f t="shared" si="1"/>
        <v/>
      </c>
    </row>
    <row r="79" spans="13:13">
      <c r="M79" t="str">
        <f t="shared" si="1"/>
        <v/>
      </c>
    </row>
    <row r="80" spans="13:13">
      <c r="M80" t="str">
        <f t="shared" si="1"/>
        <v/>
      </c>
    </row>
    <row r="81" spans="13:13">
      <c r="M81" t="str">
        <f t="shared" si="1"/>
        <v/>
      </c>
    </row>
    <row r="82" spans="13:13">
      <c r="M82" t="str">
        <f t="shared" si="1"/>
        <v/>
      </c>
    </row>
    <row r="83" spans="13:13">
      <c r="M83" t="str">
        <f t="shared" si="1"/>
        <v/>
      </c>
    </row>
    <row r="84" spans="13:13">
      <c r="M84" t="str">
        <f t="shared" si="1"/>
        <v/>
      </c>
    </row>
    <row r="85" spans="13:13">
      <c r="M85" t="str">
        <f t="shared" si="1"/>
        <v/>
      </c>
    </row>
    <row r="86" spans="13:13">
      <c r="M86" t="str">
        <f t="shared" si="1"/>
        <v/>
      </c>
    </row>
    <row r="87" spans="13:13">
      <c r="M87" t="str">
        <f t="shared" si="1"/>
        <v/>
      </c>
    </row>
    <row r="88" spans="13:13">
      <c r="M88" t="str">
        <f t="shared" si="1"/>
        <v/>
      </c>
    </row>
    <row r="89" spans="13:13">
      <c r="M89" t="str">
        <f t="shared" si="1"/>
        <v/>
      </c>
    </row>
    <row r="90" spans="13:13">
      <c r="M90" t="str">
        <f t="shared" si="1"/>
        <v/>
      </c>
    </row>
    <row r="91" spans="13:13">
      <c r="M91" t="str">
        <f t="shared" si="1"/>
        <v/>
      </c>
    </row>
    <row r="92" spans="13:13">
      <c r="M92" t="str">
        <f t="shared" si="1"/>
        <v/>
      </c>
    </row>
    <row r="93" spans="13:13">
      <c r="M93" t="str">
        <f t="shared" si="1"/>
        <v/>
      </c>
    </row>
    <row r="94" spans="13:13">
      <c r="M94" t="str">
        <f t="shared" si="1"/>
        <v/>
      </c>
    </row>
    <row r="95" spans="13:13">
      <c r="M95" t="str">
        <f t="shared" si="1"/>
        <v/>
      </c>
    </row>
    <row r="96" spans="13:13">
      <c r="M96" t="str">
        <f t="shared" si="1"/>
        <v/>
      </c>
    </row>
    <row r="97" spans="13:13">
      <c r="M97" t="str">
        <f t="shared" si="1"/>
        <v/>
      </c>
    </row>
    <row r="98" spans="13:13">
      <c r="M98" t="str">
        <f t="shared" si="1"/>
        <v/>
      </c>
    </row>
    <row r="99" spans="13:13">
      <c r="M99" t="str">
        <f t="shared" si="1"/>
        <v/>
      </c>
    </row>
    <row r="100" spans="13:13">
      <c r="M100" t="str">
        <f t="shared" si="1"/>
        <v/>
      </c>
    </row>
    <row r="101" spans="13:13">
      <c r="M101" t="str">
        <f t="shared" si="1"/>
        <v/>
      </c>
    </row>
    <row r="102" spans="13:13">
      <c r="M102" t="str">
        <f t="shared" si="1"/>
        <v/>
      </c>
    </row>
    <row r="103" spans="13:13">
      <c r="M103" t="str">
        <f t="shared" si="1"/>
        <v/>
      </c>
    </row>
    <row r="104" spans="13:13">
      <c r="M104" t="str">
        <f t="shared" si="1"/>
        <v/>
      </c>
    </row>
    <row r="105" spans="13:13">
      <c r="M105" t="str">
        <f t="shared" si="1"/>
        <v/>
      </c>
    </row>
    <row r="106" spans="13:13">
      <c r="M106" t="str">
        <f t="shared" si="1"/>
        <v/>
      </c>
    </row>
    <row r="107" spans="13:13">
      <c r="M107" t="str">
        <f t="shared" si="1"/>
        <v/>
      </c>
    </row>
    <row r="108" spans="13:13">
      <c r="M108" t="str">
        <f t="shared" si="1"/>
        <v/>
      </c>
    </row>
    <row r="109" spans="13:13">
      <c r="M109" t="str">
        <f t="shared" si="1"/>
        <v/>
      </c>
    </row>
    <row r="110" spans="13:13">
      <c r="M110" t="str">
        <f t="shared" si="1"/>
        <v/>
      </c>
    </row>
    <row r="111" spans="13:13">
      <c r="M111" t="str">
        <f t="shared" si="1"/>
        <v/>
      </c>
    </row>
    <row r="112" spans="13:13">
      <c r="M112" t="str">
        <f t="shared" si="1"/>
        <v/>
      </c>
    </row>
    <row r="113" spans="13:13">
      <c r="M113" t="str">
        <f t="shared" si="1"/>
        <v/>
      </c>
    </row>
    <row r="114" spans="13:13">
      <c r="M114" t="str">
        <f t="shared" si="1"/>
        <v/>
      </c>
    </row>
    <row r="115" spans="13:13">
      <c r="M115" t="str">
        <f t="shared" si="1"/>
        <v/>
      </c>
    </row>
    <row r="116" spans="13:13">
      <c r="M116" t="str">
        <f t="shared" si="1"/>
        <v/>
      </c>
    </row>
    <row r="117" spans="13:13">
      <c r="M117" t="str">
        <f t="shared" si="1"/>
        <v/>
      </c>
    </row>
    <row r="118" spans="13:13">
      <c r="M118" t="str">
        <f t="shared" si="1"/>
        <v/>
      </c>
    </row>
    <row r="119" spans="13:13">
      <c r="M119" t="str">
        <f t="shared" si="1"/>
        <v/>
      </c>
    </row>
    <row r="120" spans="13:13">
      <c r="M120" t="str">
        <f t="shared" si="1"/>
        <v/>
      </c>
    </row>
    <row r="121" spans="13:13">
      <c r="M121" t="str">
        <f t="shared" si="1"/>
        <v/>
      </c>
    </row>
    <row r="122" spans="13:13">
      <c r="M122" t="str">
        <f t="shared" si="1"/>
        <v/>
      </c>
    </row>
    <row r="123" spans="13:13">
      <c r="M123" t="str">
        <f t="shared" si="1"/>
        <v/>
      </c>
    </row>
    <row r="124" spans="13:13">
      <c r="M124" t="str">
        <f t="shared" si="1"/>
        <v/>
      </c>
    </row>
    <row r="125" spans="13:13">
      <c r="M125" t="str">
        <f t="shared" si="1"/>
        <v/>
      </c>
    </row>
    <row r="126" spans="13:13">
      <c r="M126" t="str">
        <f t="shared" si="1"/>
        <v/>
      </c>
    </row>
    <row r="127" spans="13:13">
      <c r="M127" t="str">
        <f t="shared" si="1"/>
        <v/>
      </c>
    </row>
    <row r="128" spans="13:13">
      <c r="M128" t="str">
        <f t="shared" si="1"/>
        <v/>
      </c>
    </row>
    <row r="129" spans="13:13">
      <c r="M129" t="str">
        <f t="shared" si="1"/>
        <v/>
      </c>
    </row>
    <row r="130" spans="13:13">
      <c r="M130" t="str">
        <f t="shared" si="1"/>
        <v/>
      </c>
    </row>
    <row r="131" spans="13:13">
      <c r="M131" t="str">
        <f t="shared" si="1"/>
        <v/>
      </c>
    </row>
    <row r="132" spans="13:13">
      <c r="M132" t="str">
        <f t="shared" si="1"/>
        <v/>
      </c>
    </row>
    <row r="133" spans="13:13">
      <c r="M133" t="str">
        <f t="shared" si="1"/>
        <v/>
      </c>
    </row>
    <row r="134" spans="13:13">
      <c r="M134" t="str">
        <f t="shared" ref="M134:M197" si="2">IF(B134="","",B134&amp;"::"&amp;C134)</f>
        <v/>
      </c>
    </row>
    <row r="135" spans="13:13">
      <c r="M135" t="str">
        <f t="shared" si="2"/>
        <v/>
      </c>
    </row>
    <row r="136" spans="13:13">
      <c r="M136" t="str">
        <f t="shared" si="2"/>
        <v/>
      </c>
    </row>
    <row r="137" spans="13:13">
      <c r="M137" t="str">
        <f t="shared" si="2"/>
        <v/>
      </c>
    </row>
    <row r="138" spans="13:13">
      <c r="M138" t="str">
        <f t="shared" si="2"/>
        <v/>
      </c>
    </row>
    <row r="139" spans="13:13">
      <c r="M139" t="str">
        <f t="shared" si="2"/>
        <v/>
      </c>
    </row>
    <row r="140" spans="13:13">
      <c r="M140" t="str">
        <f t="shared" si="2"/>
        <v/>
      </c>
    </row>
    <row r="141" spans="13:13">
      <c r="M141" t="str">
        <f t="shared" si="2"/>
        <v/>
      </c>
    </row>
    <row r="142" spans="13:13">
      <c r="M142" t="str">
        <f t="shared" si="2"/>
        <v/>
      </c>
    </row>
    <row r="143" spans="13:13">
      <c r="M143" t="str">
        <f t="shared" si="2"/>
        <v/>
      </c>
    </row>
    <row r="144" spans="13:13">
      <c r="M144" t="str">
        <f t="shared" si="2"/>
        <v/>
      </c>
    </row>
    <row r="145" spans="13:13">
      <c r="M145" t="str">
        <f t="shared" si="2"/>
        <v/>
      </c>
    </row>
    <row r="146" spans="13:13">
      <c r="M146" t="str">
        <f t="shared" si="2"/>
        <v/>
      </c>
    </row>
    <row r="147" spans="13:13">
      <c r="M147" t="str">
        <f t="shared" si="2"/>
        <v/>
      </c>
    </row>
    <row r="148" spans="13:13">
      <c r="M148" t="str">
        <f t="shared" si="2"/>
        <v/>
      </c>
    </row>
    <row r="149" spans="13:13">
      <c r="M149" t="str">
        <f t="shared" si="2"/>
        <v/>
      </c>
    </row>
    <row r="150" spans="13:13">
      <c r="M150" t="str">
        <f t="shared" si="2"/>
        <v/>
      </c>
    </row>
    <row r="151" spans="13:13">
      <c r="M151" t="str">
        <f t="shared" si="2"/>
        <v/>
      </c>
    </row>
    <row r="152" spans="13:13">
      <c r="M152" t="str">
        <f t="shared" si="2"/>
        <v/>
      </c>
    </row>
    <row r="153" spans="13:13">
      <c r="M153" t="str">
        <f t="shared" si="2"/>
        <v/>
      </c>
    </row>
    <row r="154" spans="13:13">
      <c r="M154" t="str">
        <f t="shared" si="2"/>
        <v/>
      </c>
    </row>
    <row r="155" spans="13:13">
      <c r="M155" t="str">
        <f t="shared" si="2"/>
        <v/>
      </c>
    </row>
    <row r="156" spans="13:13">
      <c r="M156" t="str">
        <f t="shared" si="2"/>
        <v/>
      </c>
    </row>
    <row r="157" spans="13:13">
      <c r="M157" t="str">
        <f t="shared" si="2"/>
        <v/>
      </c>
    </row>
    <row r="158" spans="13:13">
      <c r="M158" t="str">
        <f t="shared" si="2"/>
        <v/>
      </c>
    </row>
    <row r="159" spans="13:13">
      <c r="M159" t="str">
        <f t="shared" si="2"/>
        <v/>
      </c>
    </row>
    <row r="160" spans="13:13">
      <c r="M160" t="str">
        <f t="shared" si="2"/>
        <v/>
      </c>
    </row>
    <row r="161" spans="13:13">
      <c r="M161" t="str">
        <f t="shared" si="2"/>
        <v/>
      </c>
    </row>
    <row r="162" spans="13:13">
      <c r="M162" t="str">
        <f t="shared" si="2"/>
        <v/>
      </c>
    </row>
    <row r="163" spans="13:13">
      <c r="M163" t="str">
        <f t="shared" si="2"/>
        <v/>
      </c>
    </row>
    <row r="164" spans="13:13">
      <c r="M164" t="str">
        <f t="shared" si="2"/>
        <v/>
      </c>
    </row>
    <row r="165" spans="13:13">
      <c r="M165" t="str">
        <f t="shared" si="2"/>
        <v/>
      </c>
    </row>
    <row r="166" spans="13:13">
      <c r="M166" t="str">
        <f t="shared" si="2"/>
        <v/>
      </c>
    </row>
    <row r="167" spans="13:13">
      <c r="M167" t="str">
        <f t="shared" si="2"/>
        <v/>
      </c>
    </row>
    <row r="168" spans="13:13">
      <c r="M168" t="str">
        <f t="shared" si="2"/>
        <v/>
      </c>
    </row>
    <row r="169" spans="13:13">
      <c r="M169" t="str">
        <f t="shared" si="2"/>
        <v/>
      </c>
    </row>
    <row r="170" spans="13:13">
      <c r="M170" t="str">
        <f t="shared" si="2"/>
        <v/>
      </c>
    </row>
    <row r="171" spans="13:13">
      <c r="M171" t="str">
        <f t="shared" si="2"/>
        <v/>
      </c>
    </row>
    <row r="172" spans="13:13">
      <c r="M172" t="str">
        <f t="shared" si="2"/>
        <v/>
      </c>
    </row>
    <row r="173" spans="13:13">
      <c r="M173" t="str">
        <f t="shared" si="2"/>
        <v/>
      </c>
    </row>
    <row r="174" spans="13:13">
      <c r="M174" t="str">
        <f t="shared" si="2"/>
        <v/>
      </c>
    </row>
    <row r="175" spans="13:13">
      <c r="M175" t="str">
        <f t="shared" si="2"/>
        <v/>
      </c>
    </row>
    <row r="176" spans="13:13">
      <c r="M176" t="str">
        <f t="shared" si="2"/>
        <v/>
      </c>
    </row>
    <row r="177" spans="13:13">
      <c r="M177" t="str">
        <f t="shared" si="2"/>
        <v/>
      </c>
    </row>
    <row r="178" spans="13:13">
      <c r="M178" t="str">
        <f t="shared" si="2"/>
        <v/>
      </c>
    </row>
    <row r="179" spans="13:13">
      <c r="M179" t="str">
        <f t="shared" si="2"/>
        <v/>
      </c>
    </row>
    <row r="180" spans="13:13">
      <c r="M180" t="str">
        <f t="shared" si="2"/>
        <v/>
      </c>
    </row>
    <row r="181" spans="13:13">
      <c r="M181" t="str">
        <f t="shared" si="2"/>
        <v/>
      </c>
    </row>
    <row r="182" spans="13:13">
      <c r="M182" t="str">
        <f t="shared" si="2"/>
        <v/>
      </c>
    </row>
    <row r="183" spans="13:13">
      <c r="M183" t="str">
        <f t="shared" si="2"/>
        <v/>
      </c>
    </row>
    <row r="184" spans="13:13">
      <c r="M184" t="str">
        <f t="shared" si="2"/>
        <v/>
      </c>
    </row>
    <row r="185" spans="13:13">
      <c r="M185" t="str">
        <f t="shared" si="2"/>
        <v/>
      </c>
    </row>
    <row r="186" spans="13:13">
      <c r="M186" t="str">
        <f t="shared" si="2"/>
        <v/>
      </c>
    </row>
    <row r="187" spans="13:13">
      <c r="M187" t="str">
        <f t="shared" si="2"/>
        <v/>
      </c>
    </row>
    <row r="188" spans="13:13">
      <c r="M188" t="str">
        <f t="shared" si="2"/>
        <v/>
      </c>
    </row>
    <row r="189" spans="13:13">
      <c r="M189" t="str">
        <f t="shared" si="2"/>
        <v/>
      </c>
    </row>
    <row r="190" spans="13:13">
      <c r="M190" t="str">
        <f t="shared" si="2"/>
        <v/>
      </c>
    </row>
    <row r="191" spans="13:13">
      <c r="M191" t="str">
        <f t="shared" si="2"/>
        <v/>
      </c>
    </row>
    <row r="192" spans="13:13">
      <c r="M192" t="str">
        <f t="shared" si="2"/>
        <v/>
      </c>
    </row>
    <row r="193" spans="13:13">
      <c r="M193" t="str">
        <f t="shared" si="2"/>
        <v/>
      </c>
    </row>
    <row r="194" spans="13:13">
      <c r="M194" t="str">
        <f t="shared" si="2"/>
        <v/>
      </c>
    </row>
    <row r="195" spans="13:13">
      <c r="M195" t="str">
        <f t="shared" si="2"/>
        <v/>
      </c>
    </row>
    <row r="196" spans="13:13">
      <c r="M196" t="str">
        <f t="shared" si="2"/>
        <v/>
      </c>
    </row>
    <row r="197" spans="13:13">
      <c r="M197" t="str">
        <f t="shared" si="2"/>
        <v/>
      </c>
    </row>
    <row r="198" spans="13:13">
      <c r="M198" t="str">
        <f t="shared" ref="M198:M261" si="3">IF(B198="","",B198&amp;"::"&amp;C198)</f>
        <v/>
      </c>
    </row>
    <row r="199" spans="13:13">
      <c r="M199" t="str">
        <f t="shared" si="3"/>
        <v/>
      </c>
    </row>
    <row r="200" spans="13:13">
      <c r="M200" t="str">
        <f t="shared" si="3"/>
        <v/>
      </c>
    </row>
    <row r="201" spans="13:13">
      <c r="M201" t="str">
        <f t="shared" si="3"/>
        <v/>
      </c>
    </row>
    <row r="202" spans="13:13">
      <c r="M202" t="str">
        <f t="shared" si="3"/>
        <v/>
      </c>
    </row>
    <row r="203" spans="13:13">
      <c r="M203" t="str">
        <f t="shared" si="3"/>
        <v/>
      </c>
    </row>
    <row r="204" spans="13:13">
      <c r="M204" t="str">
        <f t="shared" si="3"/>
        <v/>
      </c>
    </row>
    <row r="205" spans="13:13">
      <c r="M205" t="str">
        <f t="shared" si="3"/>
        <v/>
      </c>
    </row>
    <row r="206" spans="13:13">
      <c r="M206" t="str">
        <f t="shared" si="3"/>
        <v/>
      </c>
    </row>
    <row r="207" spans="13:13">
      <c r="M207" t="str">
        <f t="shared" si="3"/>
        <v/>
      </c>
    </row>
    <row r="208" spans="13:13">
      <c r="M208" t="str">
        <f t="shared" si="3"/>
        <v/>
      </c>
    </row>
    <row r="209" spans="13:13">
      <c r="M209" t="str">
        <f t="shared" si="3"/>
        <v/>
      </c>
    </row>
    <row r="210" spans="13:13">
      <c r="M210" t="str">
        <f t="shared" si="3"/>
        <v/>
      </c>
    </row>
    <row r="211" spans="13:13">
      <c r="M211" t="str">
        <f t="shared" si="3"/>
        <v/>
      </c>
    </row>
    <row r="212" spans="13:13">
      <c r="M212" t="str">
        <f t="shared" si="3"/>
        <v/>
      </c>
    </row>
    <row r="213" spans="13:13">
      <c r="M213" t="str">
        <f t="shared" si="3"/>
        <v/>
      </c>
    </row>
    <row r="214" spans="13:13">
      <c r="M214" t="str">
        <f t="shared" si="3"/>
        <v/>
      </c>
    </row>
    <row r="215" spans="13:13">
      <c r="M215" t="str">
        <f t="shared" si="3"/>
        <v/>
      </c>
    </row>
    <row r="216" spans="13:13">
      <c r="M216" t="str">
        <f t="shared" si="3"/>
        <v/>
      </c>
    </row>
    <row r="217" spans="13:13">
      <c r="M217" t="str">
        <f t="shared" si="3"/>
        <v/>
      </c>
    </row>
    <row r="218" spans="13:13">
      <c r="M218" t="str">
        <f t="shared" si="3"/>
        <v/>
      </c>
    </row>
    <row r="219" spans="13:13">
      <c r="M219" t="str">
        <f t="shared" si="3"/>
        <v/>
      </c>
    </row>
    <row r="220" spans="13:13">
      <c r="M220" t="str">
        <f t="shared" si="3"/>
        <v/>
      </c>
    </row>
    <row r="221" spans="13:13">
      <c r="M221" t="str">
        <f t="shared" si="3"/>
        <v/>
      </c>
    </row>
    <row r="222" spans="13:13">
      <c r="M222" t="str">
        <f t="shared" si="3"/>
        <v/>
      </c>
    </row>
    <row r="223" spans="13:13">
      <c r="M223" t="str">
        <f t="shared" si="3"/>
        <v/>
      </c>
    </row>
    <row r="224" spans="13:13">
      <c r="M224" t="str">
        <f t="shared" si="3"/>
        <v/>
      </c>
    </row>
    <row r="225" spans="13:13">
      <c r="M225" t="str">
        <f t="shared" si="3"/>
        <v/>
      </c>
    </row>
    <row r="226" spans="13:13">
      <c r="M226" t="str">
        <f t="shared" si="3"/>
        <v/>
      </c>
    </row>
    <row r="227" spans="13:13">
      <c r="M227" t="str">
        <f t="shared" si="3"/>
        <v/>
      </c>
    </row>
    <row r="228" spans="13:13">
      <c r="M228" t="str">
        <f t="shared" si="3"/>
        <v/>
      </c>
    </row>
    <row r="229" spans="13:13">
      <c r="M229" t="str">
        <f t="shared" si="3"/>
        <v/>
      </c>
    </row>
    <row r="230" spans="13:13">
      <c r="M230" t="str">
        <f t="shared" si="3"/>
        <v/>
      </c>
    </row>
    <row r="231" spans="13:13">
      <c r="M231" t="str">
        <f t="shared" si="3"/>
        <v/>
      </c>
    </row>
    <row r="232" spans="13:13">
      <c r="M232" t="str">
        <f t="shared" si="3"/>
        <v/>
      </c>
    </row>
    <row r="233" spans="13:13">
      <c r="M233" t="str">
        <f t="shared" si="3"/>
        <v/>
      </c>
    </row>
    <row r="234" spans="13:13">
      <c r="M234" t="str">
        <f t="shared" si="3"/>
        <v/>
      </c>
    </row>
    <row r="235" spans="13:13">
      <c r="M235" t="str">
        <f t="shared" si="3"/>
        <v/>
      </c>
    </row>
    <row r="236" spans="13:13">
      <c r="M236" t="str">
        <f t="shared" si="3"/>
        <v/>
      </c>
    </row>
    <row r="237" spans="13:13">
      <c r="M237" t="str">
        <f t="shared" si="3"/>
        <v/>
      </c>
    </row>
    <row r="238" spans="13:13">
      <c r="M238" t="str">
        <f t="shared" si="3"/>
        <v/>
      </c>
    </row>
    <row r="239" spans="13:13">
      <c r="M239" t="str">
        <f t="shared" si="3"/>
        <v/>
      </c>
    </row>
    <row r="240" spans="13:13">
      <c r="M240" t="str">
        <f t="shared" si="3"/>
        <v/>
      </c>
    </row>
    <row r="241" spans="13:13">
      <c r="M241" t="str">
        <f t="shared" si="3"/>
        <v/>
      </c>
    </row>
    <row r="242" spans="13:13">
      <c r="M242" t="str">
        <f t="shared" si="3"/>
        <v/>
      </c>
    </row>
    <row r="243" spans="13:13">
      <c r="M243" t="str">
        <f t="shared" si="3"/>
        <v/>
      </c>
    </row>
    <row r="244" spans="13:13">
      <c r="M244" t="str">
        <f t="shared" si="3"/>
        <v/>
      </c>
    </row>
    <row r="245" spans="13:13">
      <c r="M245" t="str">
        <f t="shared" si="3"/>
        <v/>
      </c>
    </row>
    <row r="246" spans="13:13">
      <c r="M246" t="str">
        <f t="shared" si="3"/>
        <v/>
      </c>
    </row>
    <row r="247" spans="13:13">
      <c r="M247" t="str">
        <f t="shared" si="3"/>
        <v/>
      </c>
    </row>
    <row r="248" spans="13:13">
      <c r="M248" t="str">
        <f t="shared" si="3"/>
        <v/>
      </c>
    </row>
    <row r="249" spans="13:13">
      <c r="M249" t="str">
        <f t="shared" si="3"/>
        <v/>
      </c>
    </row>
    <row r="250" spans="13:13">
      <c r="M250" t="str">
        <f t="shared" si="3"/>
        <v/>
      </c>
    </row>
    <row r="251" spans="13:13">
      <c r="M251" t="str">
        <f t="shared" si="3"/>
        <v/>
      </c>
    </row>
    <row r="252" spans="13:13">
      <c r="M252" t="str">
        <f t="shared" si="3"/>
        <v/>
      </c>
    </row>
    <row r="253" spans="13:13">
      <c r="M253" t="str">
        <f t="shared" si="3"/>
        <v/>
      </c>
    </row>
    <row r="254" spans="13:13">
      <c r="M254" t="str">
        <f t="shared" si="3"/>
        <v/>
      </c>
    </row>
    <row r="255" spans="13:13">
      <c r="M255" t="str">
        <f t="shared" si="3"/>
        <v/>
      </c>
    </row>
    <row r="256" spans="13:13">
      <c r="M256" t="str">
        <f t="shared" si="3"/>
        <v/>
      </c>
    </row>
    <row r="257" spans="13:13">
      <c r="M257" t="str">
        <f t="shared" si="3"/>
        <v/>
      </c>
    </row>
    <row r="258" spans="13:13">
      <c r="M258" t="str">
        <f t="shared" si="3"/>
        <v/>
      </c>
    </row>
    <row r="259" spans="13:13">
      <c r="M259" t="str">
        <f t="shared" si="3"/>
        <v/>
      </c>
    </row>
    <row r="260" spans="13:13">
      <c r="M260" t="str">
        <f t="shared" si="3"/>
        <v/>
      </c>
    </row>
    <row r="261" spans="13:13">
      <c r="M261" t="str">
        <f t="shared" si="3"/>
        <v/>
      </c>
    </row>
    <row r="262" spans="13:13">
      <c r="M262" t="str">
        <f t="shared" ref="M262:M300" si="4">IF(B262="","",B262&amp;"::"&amp;C262)</f>
        <v/>
      </c>
    </row>
    <row r="263" spans="13:13">
      <c r="M263" t="str">
        <f t="shared" si="4"/>
        <v/>
      </c>
    </row>
    <row r="264" spans="13:13">
      <c r="M264" t="str">
        <f t="shared" si="4"/>
        <v/>
      </c>
    </row>
    <row r="265" spans="13:13">
      <c r="M265" t="str">
        <f t="shared" si="4"/>
        <v/>
      </c>
    </row>
    <row r="266" spans="13:13">
      <c r="M266" t="str">
        <f t="shared" si="4"/>
        <v/>
      </c>
    </row>
    <row r="267" spans="13:13">
      <c r="M267" t="str">
        <f t="shared" si="4"/>
        <v/>
      </c>
    </row>
    <row r="268" spans="13:13">
      <c r="M268" t="str">
        <f t="shared" si="4"/>
        <v/>
      </c>
    </row>
    <row r="269" spans="13:13">
      <c r="M269" t="str">
        <f t="shared" si="4"/>
        <v/>
      </c>
    </row>
    <row r="270" spans="13:13">
      <c r="M270" t="str">
        <f t="shared" si="4"/>
        <v/>
      </c>
    </row>
    <row r="271" spans="13:13">
      <c r="M271" t="str">
        <f t="shared" si="4"/>
        <v/>
      </c>
    </row>
    <row r="272" spans="13:13">
      <c r="M272" t="str">
        <f t="shared" si="4"/>
        <v/>
      </c>
    </row>
    <row r="273" spans="13:13">
      <c r="M273" t="str">
        <f t="shared" si="4"/>
        <v/>
      </c>
    </row>
    <row r="274" spans="13:13">
      <c r="M274" t="str">
        <f t="shared" si="4"/>
        <v/>
      </c>
    </row>
    <row r="275" spans="13:13">
      <c r="M275" t="str">
        <f t="shared" si="4"/>
        <v/>
      </c>
    </row>
    <row r="276" spans="13:13">
      <c r="M276" t="str">
        <f t="shared" si="4"/>
        <v/>
      </c>
    </row>
    <row r="277" spans="13:13">
      <c r="M277" t="str">
        <f t="shared" si="4"/>
        <v/>
      </c>
    </row>
    <row r="278" spans="13:13">
      <c r="M278" t="str">
        <f t="shared" si="4"/>
        <v/>
      </c>
    </row>
    <row r="279" spans="13:13">
      <c r="M279" t="str">
        <f t="shared" si="4"/>
        <v/>
      </c>
    </row>
    <row r="280" spans="13:13">
      <c r="M280" t="str">
        <f t="shared" si="4"/>
        <v/>
      </c>
    </row>
    <row r="281" spans="13:13">
      <c r="M281" t="str">
        <f t="shared" si="4"/>
        <v/>
      </c>
    </row>
    <row r="282" spans="13:13">
      <c r="M282" t="str">
        <f t="shared" si="4"/>
        <v/>
      </c>
    </row>
    <row r="283" spans="13:13">
      <c r="M283" t="str">
        <f t="shared" si="4"/>
        <v/>
      </c>
    </row>
    <row r="284" spans="13:13">
      <c r="M284" t="str">
        <f t="shared" si="4"/>
        <v/>
      </c>
    </row>
    <row r="285" spans="13:13">
      <c r="M285" t="str">
        <f t="shared" si="4"/>
        <v/>
      </c>
    </row>
    <row r="286" spans="13:13">
      <c r="M286" t="str">
        <f t="shared" si="4"/>
        <v/>
      </c>
    </row>
    <row r="287" spans="13:13">
      <c r="M287" t="str">
        <f t="shared" si="4"/>
        <v/>
      </c>
    </row>
    <row r="288" spans="13:13">
      <c r="M288" t="str">
        <f t="shared" si="4"/>
        <v/>
      </c>
    </row>
    <row r="289" spans="13:13">
      <c r="M289" t="str">
        <f t="shared" si="4"/>
        <v/>
      </c>
    </row>
    <row r="290" spans="13:13">
      <c r="M290" t="str">
        <f t="shared" si="4"/>
        <v/>
      </c>
    </row>
    <row r="291" spans="13:13">
      <c r="M291" t="str">
        <f t="shared" si="4"/>
        <v/>
      </c>
    </row>
    <row r="292" spans="13:13">
      <c r="M292" t="str">
        <f t="shared" si="4"/>
        <v/>
      </c>
    </row>
    <row r="293" spans="13:13">
      <c r="M293" t="str">
        <f t="shared" si="4"/>
        <v/>
      </c>
    </row>
    <row r="294" spans="13:13">
      <c r="M294" t="str">
        <f t="shared" si="4"/>
        <v/>
      </c>
    </row>
    <row r="295" spans="13:13">
      <c r="M295" t="str">
        <f t="shared" si="4"/>
        <v/>
      </c>
    </row>
    <row r="296" spans="13:13">
      <c r="M296" t="str">
        <f t="shared" si="4"/>
        <v/>
      </c>
    </row>
    <row r="297" spans="13:13">
      <c r="M297" t="str">
        <f t="shared" si="4"/>
        <v/>
      </c>
    </row>
    <row r="298" spans="13:13">
      <c r="M298" t="str">
        <f t="shared" si="4"/>
        <v/>
      </c>
    </row>
    <row r="299" spans="13:13">
      <c r="M299" t="str">
        <f t="shared" si="4"/>
        <v/>
      </c>
    </row>
    <row r="300" spans="13:13">
      <c r="M300" t="str">
        <f t="shared" si="4"/>
        <v/>
      </c>
    </row>
  </sheetData>
  <mergeCells count="3">
    <mergeCell ref="A1:L1"/>
    <mergeCell ref="A2:L2"/>
    <mergeCell ref="A3:L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showGridLines="0" workbookViewId="0">
      <pane ySplit="5" topLeftCell="A6" activePane="bottomLeft" state="frozen"/>
      <selection pane="bottomLeft" sqref="A1:G1"/>
    </sheetView>
  </sheetViews>
  <sheetFormatPr baseColWidth="10" defaultColWidth="8.83203125" defaultRowHeight="14"/>
  <cols>
    <col min="1" max="1" width="22" customWidth="1"/>
    <col min="2" max="2" width="13" customWidth="1"/>
    <col min="3" max="3" width="19" customWidth="1"/>
    <col min="4" max="4" width="31" customWidth="1"/>
    <col min="5" max="5" width="20" customWidth="1"/>
    <col min="6" max="6" width="29" customWidth="1"/>
    <col min="7" max="7" width="46" customWidth="1"/>
  </cols>
  <sheetData>
    <row r="1" spans="1:7" ht="33" customHeight="1">
      <c r="A1" s="9" t="s">
        <v>187</v>
      </c>
      <c r="B1" s="9"/>
      <c r="C1" s="9"/>
      <c r="D1" s="9"/>
      <c r="E1" s="9"/>
      <c r="F1" s="9"/>
      <c r="G1" s="9"/>
    </row>
    <row r="2" spans="1:7" ht="23" customHeight="1">
      <c r="A2" s="10" t="s">
        <v>188</v>
      </c>
      <c r="B2" s="10"/>
      <c r="C2" s="10"/>
      <c r="D2" s="10"/>
      <c r="E2" s="10"/>
      <c r="F2" s="10"/>
      <c r="G2" s="10"/>
    </row>
    <row r="3" spans="1:7" ht="23" customHeight="1">
      <c r="A3" s="10" t="s">
        <v>2</v>
      </c>
      <c r="B3" s="10"/>
      <c r="C3" s="10"/>
      <c r="D3" s="10"/>
      <c r="E3" s="10"/>
      <c r="F3" s="10"/>
      <c r="G3" s="10"/>
    </row>
    <row r="5" spans="1:7" ht="34" customHeight="1">
      <c r="A5" s="1" t="s">
        <v>86</v>
      </c>
      <c r="B5" s="1" t="s">
        <v>189</v>
      </c>
      <c r="C5" s="1" t="s">
        <v>5</v>
      </c>
      <c r="D5" s="1" t="s">
        <v>190</v>
      </c>
      <c r="E5" s="1" t="s">
        <v>68</v>
      </c>
      <c r="F5" s="1" t="s">
        <v>191</v>
      </c>
      <c r="G5" s="1" t="s">
        <v>192</v>
      </c>
    </row>
    <row r="6" spans="1:7" ht="15">
      <c r="A6" s="2" t="s">
        <v>122</v>
      </c>
      <c r="B6" s="2" t="s">
        <v>123</v>
      </c>
      <c r="C6" s="2" t="s">
        <v>13</v>
      </c>
      <c r="D6" s="2" t="s">
        <v>193</v>
      </c>
      <c r="E6" s="2" t="s">
        <v>18</v>
      </c>
      <c r="F6" s="2" t="s">
        <v>18</v>
      </c>
      <c r="G6" s="2"/>
    </row>
    <row r="7" spans="1:7" ht="15">
      <c r="A7" s="2" t="s">
        <v>117</v>
      </c>
      <c r="B7" s="2" t="s">
        <v>118</v>
      </c>
      <c r="C7" s="2" t="s">
        <v>13</v>
      </c>
      <c r="D7" s="2" t="s">
        <v>193</v>
      </c>
      <c r="E7" s="2" t="s">
        <v>18</v>
      </c>
      <c r="F7" s="2" t="s">
        <v>18</v>
      </c>
      <c r="G7" s="2"/>
    </row>
    <row r="8" spans="1:7" ht="15">
      <c r="A8" s="2" t="s">
        <v>183</v>
      </c>
      <c r="B8" s="2" t="s">
        <v>184</v>
      </c>
      <c r="C8" s="2" t="s">
        <v>13</v>
      </c>
      <c r="D8" s="2" t="s">
        <v>193</v>
      </c>
      <c r="E8" s="2" t="s">
        <v>18</v>
      </c>
      <c r="F8" s="2" t="s">
        <v>18</v>
      </c>
      <c r="G8" s="2"/>
    </row>
    <row r="9" spans="1:7" ht="15">
      <c r="A9" s="2" t="s">
        <v>171</v>
      </c>
      <c r="B9" s="2" t="s">
        <v>172</v>
      </c>
      <c r="C9" s="2" t="s">
        <v>13</v>
      </c>
      <c r="D9" s="2" t="s">
        <v>193</v>
      </c>
      <c r="E9" s="2" t="s">
        <v>18</v>
      </c>
      <c r="F9" s="2" t="s">
        <v>18</v>
      </c>
      <c r="G9" s="2"/>
    </row>
    <row r="10" spans="1:7" ht="15">
      <c r="A10" s="2" t="s">
        <v>194</v>
      </c>
      <c r="B10" s="2" t="s">
        <v>195</v>
      </c>
      <c r="C10" s="2" t="s">
        <v>13</v>
      </c>
      <c r="D10" s="2" t="s">
        <v>193</v>
      </c>
      <c r="E10" s="2" t="s">
        <v>18</v>
      </c>
      <c r="F10" s="2" t="s">
        <v>18</v>
      </c>
      <c r="G10" s="2"/>
    </row>
    <row r="11" spans="1:7" ht="15">
      <c r="A11" s="2" t="s">
        <v>97</v>
      </c>
      <c r="B11" s="2" t="s">
        <v>98</v>
      </c>
      <c r="C11" s="2" t="s">
        <v>13</v>
      </c>
      <c r="D11" s="2" t="s">
        <v>193</v>
      </c>
      <c r="E11" s="2" t="s">
        <v>18</v>
      </c>
      <c r="F11" s="2" t="s">
        <v>18</v>
      </c>
      <c r="G11" s="2"/>
    </row>
    <row r="12" spans="1:7" ht="15">
      <c r="A12" s="2" t="s">
        <v>128</v>
      </c>
      <c r="B12" s="2" t="s">
        <v>129</v>
      </c>
      <c r="C12" s="2" t="s">
        <v>13</v>
      </c>
      <c r="D12" s="2" t="s">
        <v>193</v>
      </c>
      <c r="E12" s="2" t="s">
        <v>18</v>
      </c>
      <c r="F12" s="2" t="s">
        <v>18</v>
      </c>
      <c r="G12" s="2"/>
    </row>
    <row r="13" spans="1:7" ht="15">
      <c r="A13" s="2" t="s">
        <v>104</v>
      </c>
      <c r="B13" s="2" t="s">
        <v>105</v>
      </c>
      <c r="C13" s="2" t="s">
        <v>13</v>
      </c>
      <c r="D13" s="2" t="s">
        <v>193</v>
      </c>
      <c r="E13" s="2" t="s">
        <v>18</v>
      </c>
      <c r="F13" s="2" t="s">
        <v>18</v>
      </c>
      <c r="G13" s="2"/>
    </row>
    <row r="14" spans="1:7" ht="15">
      <c r="A14" s="2" t="s">
        <v>108</v>
      </c>
      <c r="B14" s="2" t="s">
        <v>109</v>
      </c>
      <c r="C14" s="2" t="s">
        <v>13</v>
      </c>
      <c r="D14" s="2" t="s">
        <v>193</v>
      </c>
      <c r="E14" s="2" t="s">
        <v>18</v>
      </c>
      <c r="F14" s="2" t="s">
        <v>18</v>
      </c>
      <c r="G14" s="2"/>
    </row>
    <row r="15" spans="1:7" ht="15">
      <c r="A15" s="2" t="s">
        <v>143</v>
      </c>
      <c r="B15" s="2" t="s">
        <v>144</v>
      </c>
      <c r="C15" s="2" t="s">
        <v>13</v>
      </c>
      <c r="D15" s="2" t="s">
        <v>193</v>
      </c>
      <c r="E15" s="2" t="s">
        <v>18</v>
      </c>
      <c r="F15" s="2" t="s">
        <v>18</v>
      </c>
      <c r="G15" s="2"/>
    </row>
    <row r="16" spans="1:7" ht="15">
      <c r="A16" s="2" t="s">
        <v>140</v>
      </c>
      <c r="B16" s="2" t="s">
        <v>141</v>
      </c>
      <c r="C16" s="2" t="s">
        <v>13</v>
      </c>
      <c r="D16" s="2" t="s">
        <v>193</v>
      </c>
      <c r="E16" s="2" t="s">
        <v>18</v>
      </c>
      <c r="F16" s="2" t="s">
        <v>18</v>
      </c>
      <c r="G16" s="2"/>
    </row>
    <row r="17" spans="1:7" ht="15">
      <c r="A17" s="2" t="s">
        <v>196</v>
      </c>
      <c r="B17" s="2" t="s">
        <v>197</v>
      </c>
      <c r="C17" s="2" t="s">
        <v>13</v>
      </c>
      <c r="D17" s="2" t="s">
        <v>193</v>
      </c>
      <c r="E17" s="2" t="s">
        <v>18</v>
      </c>
      <c r="F17" s="2" t="s">
        <v>18</v>
      </c>
      <c r="G17" s="2"/>
    </row>
    <row r="18" spans="1:7" ht="15">
      <c r="A18" s="2" t="s">
        <v>111</v>
      </c>
      <c r="B18" s="2" t="s">
        <v>112</v>
      </c>
      <c r="C18" s="2" t="s">
        <v>13</v>
      </c>
      <c r="D18" s="2" t="s">
        <v>193</v>
      </c>
      <c r="E18" s="2" t="s">
        <v>18</v>
      </c>
      <c r="F18" s="2" t="s">
        <v>18</v>
      </c>
      <c r="G18" s="2"/>
    </row>
    <row r="19" spans="1:7" ht="15">
      <c r="A19" s="2" t="s">
        <v>114</v>
      </c>
      <c r="B19" s="2" t="s">
        <v>115</v>
      </c>
      <c r="C19" s="2" t="s">
        <v>13</v>
      </c>
      <c r="D19" s="2" t="s">
        <v>193</v>
      </c>
      <c r="E19" s="2" t="s">
        <v>18</v>
      </c>
      <c r="F19" s="2" t="s">
        <v>18</v>
      </c>
      <c r="G19" s="2"/>
    </row>
    <row r="20" spans="1:7" ht="15">
      <c r="A20" s="2" t="s">
        <v>134</v>
      </c>
      <c r="B20" s="2" t="s">
        <v>135</v>
      </c>
      <c r="C20" s="2" t="s">
        <v>13</v>
      </c>
      <c r="D20" s="2" t="s">
        <v>193</v>
      </c>
      <c r="E20" s="2" t="s">
        <v>18</v>
      </c>
      <c r="F20" s="2" t="s">
        <v>18</v>
      </c>
      <c r="G20" s="2"/>
    </row>
    <row r="21" spans="1:7" ht="15">
      <c r="A21" s="2" t="s">
        <v>125</v>
      </c>
      <c r="B21" s="2" t="s">
        <v>126</v>
      </c>
      <c r="C21" s="2" t="s">
        <v>13</v>
      </c>
      <c r="D21" s="2" t="s">
        <v>193</v>
      </c>
      <c r="E21" s="2" t="s">
        <v>18</v>
      </c>
      <c r="F21" s="2" t="s">
        <v>18</v>
      </c>
      <c r="G21" s="2"/>
    </row>
    <row r="22" spans="1:7" ht="15">
      <c r="A22" s="2" t="s">
        <v>137</v>
      </c>
      <c r="B22" s="2" t="s">
        <v>138</v>
      </c>
      <c r="C22" s="2" t="s">
        <v>13</v>
      </c>
      <c r="D22" s="2" t="s">
        <v>193</v>
      </c>
      <c r="E22" s="2" t="s">
        <v>18</v>
      </c>
      <c r="F22" s="2" t="s">
        <v>18</v>
      </c>
      <c r="G22" s="2"/>
    </row>
    <row r="23" spans="1:7" ht="15">
      <c r="A23" s="2" t="s">
        <v>147</v>
      </c>
      <c r="B23" s="2" t="s">
        <v>148</v>
      </c>
      <c r="C23" s="2" t="s">
        <v>13</v>
      </c>
      <c r="D23" s="2" t="s">
        <v>193</v>
      </c>
      <c r="E23" s="2" t="s">
        <v>18</v>
      </c>
      <c r="F23" s="2" t="s">
        <v>18</v>
      </c>
      <c r="G23" s="2"/>
    </row>
    <row r="24" spans="1:7" ht="15">
      <c r="A24" s="2" t="s">
        <v>131</v>
      </c>
      <c r="B24" s="2" t="s">
        <v>132</v>
      </c>
      <c r="C24" s="2" t="s">
        <v>13</v>
      </c>
      <c r="D24" s="2" t="s">
        <v>193</v>
      </c>
      <c r="E24" s="2" t="s">
        <v>18</v>
      </c>
      <c r="F24" s="2" t="s">
        <v>18</v>
      </c>
      <c r="G24" s="2"/>
    </row>
  </sheetData>
  <mergeCells count="3">
    <mergeCell ref="A1:G1"/>
    <mergeCell ref="A2:G2"/>
    <mergeCell ref="A3:G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59E0B"/>
  </sheetPr>
  <dimension ref="A1:E28"/>
  <sheetViews>
    <sheetView showGridLines="0" workbookViewId="0">
      <pane ySplit="5" topLeftCell="A6" activePane="bottomLeft" state="frozen"/>
      <selection pane="bottomLeft" activeCell="C31" sqref="C31"/>
    </sheetView>
  </sheetViews>
  <sheetFormatPr baseColWidth="10" defaultColWidth="8.83203125" defaultRowHeight="14"/>
  <cols>
    <col min="1" max="1" width="18" customWidth="1"/>
    <col min="2" max="2" width="20" customWidth="1"/>
    <col min="3" max="3" width="21" customWidth="1"/>
    <col min="4" max="4" width="26" customWidth="1"/>
    <col min="5" max="5" width="25" customWidth="1"/>
  </cols>
  <sheetData>
    <row r="1" spans="1:5" ht="35" customHeight="1">
      <c r="A1" s="11" t="s">
        <v>198</v>
      </c>
      <c r="B1" s="11"/>
      <c r="C1" s="11"/>
      <c r="D1" s="11"/>
      <c r="E1" s="11"/>
    </row>
    <row r="2" spans="1:5" ht="28" customHeight="1">
      <c r="A2" s="4" t="s">
        <v>199</v>
      </c>
      <c r="B2" s="5" t="s">
        <v>117</v>
      </c>
      <c r="C2" s="4"/>
      <c r="D2" s="4" t="s">
        <v>189</v>
      </c>
      <c r="E2" s="6" t="str">
        <f>IFERROR(INDEX(Countries!$B$6:$B$24,MATCH(B2,Countries!$A$6:$A$24,0)),"")</f>
        <v>AUS</v>
      </c>
    </row>
    <row r="3" spans="1:5" ht="25" customHeight="1">
      <c r="A3" s="10" t="s">
        <v>200</v>
      </c>
      <c r="B3" s="10"/>
      <c r="C3" s="10"/>
      <c r="D3" s="10"/>
      <c r="E3" s="10"/>
    </row>
    <row r="5" spans="1:5" ht="31" customHeight="1">
      <c r="A5" s="7" t="s">
        <v>201</v>
      </c>
      <c r="B5" s="7" t="s">
        <v>202</v>
      </c>
      <c r="C5" s="7" t="s">
        <v>203</v>
      </c>
      <c r="D5" s="7" t="s">
        <v>204</v>
      </c>
      <c r="E5" s="7" t="s">
        <v>205</v>
      </c>
    </row>
    <row r="6" spans="1:5" ht="15">
      <c r="A6" s="8" t="str">
        <f>'Default Mapping'!A6</f>
        <v>startDate</v>
      </c>
      <c r="B6" s="8" t="str">
        <f>IF('Default Mapping'!E6="","",'Default Mapping'!E6)</f>
        <v>BEGDA</v>
      </c>
      <c r="C6" s="8" t="str">
        <f>IF(COUNTIFS('Secondary Mapping'!$B$6:$B$300,$E$2,'Secondary Mapping'!$C$6:$C$300,$A6)&gt;0,IFERROR(INDEX('Secondary Mapping'!$E$6:$E$300,MATCH($E$2&amp;"::"&amp;$A6,'Secondary Mapping'!$M$6:$M$300,0))&amp;"",""),"")</f>
        <v/>
      </c>
      <c r="D6" s="8" t="str">
        <f>IF(COUNTIFS('Secondary Mapping'!$B$6:$B$300,$E$2,'Secondary Mapping'!$C$6:$C$300,$A6)&gt;0,IF(C6="","Review: blank target",C6),IF(B6="","Not recorded",B6))</f>
        <v>BEGDA</v>
      </c>
      <c r="E6" s="8" t="str">
        <f>IF(COUNTIFS('Secondary Mapping'!$B$6:$B$300,$E$2,'Secondary Mapping'!$C$6:$C$300,$A6)&gt;0,"Secondary Mapping",IF(B6="","Not recorded","Default Mapping"))</f>
        <v>Default Mapping</v>
      </c>
    </row>
    <row r="7" spans="1:5" ht="15">
      <c r="A7" s="2" t="str">
        <f>'Default Mapping'!A7</f>
        <v>endDate</v>
      </c>
      <c r="B7" s="2" t="str">
        <f>IF('Default Mapping'!E7="","",'Default Mapping'!E7)</f>
        <v>ENDDA</v>
      </c>
      <c r="C7" s="2" t="str">
        <f>IF(COUNTIFS('Secondary Mapping'!$B$6:$B$300,$E$2,'Secondary Mapping'!$C$6:$C$300,$A7)&gt;0,IFERROR(INDEX('Secondary Mapping'!$E$6:$E$300,MATCH($E$2&amp;"::"&amp;$A7,'Secondary Mapping'!$M$6:$M$300,0))&amp;"",""),"")</f>
        <v/>
      </c>
      <c r="D7" s="2" t="str">
        <f>IF(COUNTIFS('Secondary Mapping'!$B$6:$B$300,$E$2,'Secondary Mapping'!$C$6:$C$300,$A7)&gt;0,IF(C7="","Review: blank target",C7),IF(B7="","Not recorded",B7))</f>
        <v>ENDDA</v>
      </c>
      <c r="E7" s="2" t="str">
        <f>IF(COUNTIFS('Secondary Mapping'!$B$6:$B$300,$E$2,'Secondary Mapping'!$C$6:$C$300,$A7)&gt;0,"Secondary Mapping",IF(B7="","Not recorded","Default Mapping"))</f>
        <v>Default Mapping</v>
      </c>
    </row>
    <row r="8" spans="1:5" ht="15">
      <c r="A8" s="8" t="str">
        <f>'Default Mapping'!A8</f>
        <v>addressType</v>
      </c>
      <c r="B8" s="8" t="str">
        <f>IF('Default Mapping'!E8="","",'Default Mapping'!E8)</f>
        <v>ANSSA</v>
      </c>
      <c r="C8" s="8" t="str">
        <f>IF(COUNTIFS('Secondary Mapping'!$B$6:$B$300,$E$2,'Secondary Mapping'!$C$6:$C$300,$A8)&gt;0,IFERROR(INDEX('Secondary Mapping'!$E$6:$E$300,MATCH($E$2&amp;"::"&amp;$A8,'Secondary Mapping'!$M$6:$M$300,0))&amp;"",""),"")</f>
        <v/>
      </c>
      <c r="D8" s="8" t="str">
        <f>IF(COUNTIFS('Secondary Mapping'!$B$6:$B$300,$E$2,'Secondary Mapping'!$C$6:$C$300,$A8)&gt;0,IF(C8="","Review: blank target",C8),IF(B8="","Not recorded",B8))</f>
        <v>ANSSA</v>
      </c>
      <c r="E8" s="8" t="str">
        <f>IF(COUNTIFS('Secondary Mapping'!$B$6:$B$300,$E$2,'Secondary Mapping'!$C$6:$C$300,$A8)&gt;0,"Secondary Mapping",IF(B8="","Not recorded","Default Mapping"))</f>
        <v>Default Mapping</v>
      </c>
    </row>
    <row r="9" spans="1:5" ht="15">
      <c r="A9" s="2" t="str">
        <f>'Default Mapping'!A9</f>
        <v>country</v>
      </c>
      <c r="B9" s="2" t="str">
        <f>IF('Default Mapping'!E9="","",'Default Mapping'!E9)</f>
        <v>LAND1</v>
      </c>
      <c r="C9" s="2" t="str">
        <f>IF(COUNTIFS('Secondary Mapping'!$B$6:$B$300,$E$2,'Secondary Mapping'!$C$6:$C$300,$A9)&gt;0,IFERROR(INDEX('Secondary Mapping'!$E$6:$E$300,MATCH($E$2&amp;"::"&amp;$A9,'Secondary Mapping'!$M$6:$M$300,0))&amp;"",""),"")</f>
        <v/>
      </c>
      <c r="D9" s="2" t="str">
        <f>IF(COUNTIFS('Secondary Mapping'!$B$6:$B$300,$E$2,'Secondary Mapping'!$C$6:$C$300,$A9)&gt;0,IF(C9="","Review: blank target",C9),IF(B9="","Not recorded",B9))</f>
        <v>LAND1</v>
      </c>
      <c r="E9" s="2" t="str">
        <f>IF(COUNTIFS('Secondary Mapping'!$B$6:$B$300,$E$2,'Secondary Mapping'!$C$6:$C$300,$A9)&gt;0,"Secondary Mapping",IF(B9="","Not recorded","Default Mapping"))</f>
        <v>Default Mapping</v>
      </c>
    </row>
    <row r="10" spans="1:5" ht="15">
      <c r="A10" s="8" t="str">
        <f>'Default Mapping'!A10</f>
        <v>city</v>
      </c>
      <c r="B10" s="8" t="str">
        <f>IF('Default Mapping'!E10="","",'Default Mapping'!E10)</f>
        <v>ORT01</v>
      </c>
      <c r="C10" s="8" t="str">
        <f>IF(COUNTIFS('Secondary Mapping'!$B$6:$B$300,$E$2,'Secondary Mapping'!$C$6:$C$300,$A10)&gt;0,IFERROR(INDEX('Secondary Mapping'!$E$6:$E$300,MATCH($E$2&amp;"::"&amp;$A10,'Secondary Mapping'!$M$6:$M$300,0))&amp;"",""),"")</f>
        <v/>
      </c>
      <c r="D10" s="8" t="str">
        <f>IF(COUNTIFS('Secondary Mapping'!$B$6:$B$300,$E$2,'Secondary Mapping'!$C$6:$C$300,$A10)&gt;0,IF(C10="","Review: blank target",C10),IF(B10="","Not recorded",B10))</f>
        <v>ORT01</v>
      </c>
      <c r="E10" s="8" t="str">
        <f>IF(COUNTIFS('Secondary Mapping'!$B$6:$B$300,$E$2,'Secondary Mapping'!$C$6:$C$300,$A10)&gt;0,"Secondary Mapping",IF(B10="","Not recorded","Default Mapping"))</f>
        <v>Default Mapping</v>
      </c>
    </row>
    <row r="11" spans="1:5" ht="15">
      <c r="A11" s="2" t="str">
        <f>'Default Mapping'!A11</f>
        <v>zip-code</v>
      </c>
      <c r="B11" s="2" t="str">
        <f>IF('Default Mapping'!E11="","",'Default Mapping'!E11)</f>
        <v>PSTLZ</v>
      </c>
      <c r="C11" s="2" t="str">
        <f>IF(COUNTIFS('Secondary Mapping'!$B$6:$B$300,$E$2,'Secondary Mapping'!$C$6:$C$300,$A11)&gt;0,IFERROR(INDEX('Secondary Mapping'!$E$6:$E$300,MATCH($E$2&amp;"::"&amp;$A11,'Secondary Mapping'!$M$6:$M$300,0))&amp;"",""),"")</f>
        <v/>
      </c>
      <c r="D11" s="2" t="str">
        <f>IF(COUNTIFS('Secondary Mapping'!$B$6:$B$300,$E$2,'Secondary Mapping'!$C$6:$C$300,$A11)&gt;0,IF(C11="","Review: blank target",C11),IF(B11="","Not recorded",B11))</f>
        <v>PSTLZ</v>
      </c>
      <c r="E11" s="2" t="str">
        <f>IF(COUNTIFS('Secondary Mapping'!$B$6:$B$300,$E$2,'Secondary Mapping'!$C$6:$C$300,$A11)&gt;0,"Secondary Mapping",IF(B11="","Not recorded","Default Mapping"))</f>
        <v>Default Mapping</v>
      </c>
    </row>
    <row r="12" spans="1:5" ht="15">
      <c r="A12" s="8" t="str">
        <f>'Default Mapping'!A12</f>
        <v>address1</v>
      </c>
      <c r="B12" s="8" t="str">
        <f>IF('Default Mapping'!E12="","",'Default Mapping'!E12)</f>
        <v>STRAS</v>
      </c>
      <c r="C12" s="8" t="str">
        <f>IF(COUNTIFS('Secondary Mapping'!$B$6:$B$300,$E$2,'Secondary Mapping'!$C$6:$C$300,$A12)&gt;0,IFERROR(INDEX('Secondary Mapping'!$E$6:$E$300,MATCH($E$2&amp;"::"&amp;$A12,'Secondary Mapping'!$M$6:$M$300,0))&amp;"",""),"")</f>
        <v/>
      </c>
      <c r="D12" s="8" t="str">
        <f>IF(COUNTIFS('Secondary Mapping'!$B$6:$B$300,$E$2,'Secondary Mapping'!$C$6:$C$300,$A12)&gt;0,IF(C12="","Review: blank target",C12),IF(B12="","Not recorded",B12))</f>
        <v>STRAS</v>
      </c>
      <c r="E12" s="8" t="str">
        <f>IF(COUNTIFS('Secondary Mapping'!$B$6:$B$300,$E$2,'Secondary Mapping'!$C$6:$C$300,$A12)&gt;0,"Secondary Mapping",IF(B12="","Not recorded","Default Mapping"))</f>
        <v>Default Mapping</v>
      </c>
    </row>
    <row r="13" spans="1:5" ht="15">
      <c r="A13" s="2" t="str">
        <f>'Default Mapping'!A13</f>
        <v>address2</v>
      </c>
      <c r="B13" s="2" t="str">
        <f>IF('Default Mapping'!E13="","",'Default Mapping'!E13)</f>
        <v/>
      </c>
      <c r="C13" s="2" t="str">
        <f>IF(COUNTIFS('Secondary Mapping'!$B$6:$B$300,$E$2,'Secondary Mapping'!$C$6:$C$300,$A13)&gt;0,IFERROR(INDEX('Secondary Mapping'!$E$6:$E$300,MATCH($E$2&amp;"::"&amp;$A13,'Secondary Mapping'!$M$6:$M$300,0))&amp;"",""),"")</f>
        <v>HSNMR</v>
      </c>
      <c r="D13" s="2" t="str">
        <f>IF(COUNTIFS('Secondary Mapping'!$B$6:$B$300,$E$2,'Secondary Mapping'!$C$6:$C$300,$A13)&gt;0,IF(C13="","Review: blank target",C13),IF(B13="","Not recorded",B13))</f>
        <v>HSNMR</v>
      </c>
      <c r="E13" s="2" t="str">
        <f>IF(COUNTIFS('Secondary Mapping'!$B$6:$B$300,$E$2,'Secondary Mapping'!$C$6:$C$300,$A13)&gt;0,"Secondary Mapping",IF(B13="","Not recorded","Default Mapping"))</f>
        <v>Secondary Mapping</v>
      </c>
    </row>
    <row r="14" spans="1:5" ht="15">
      <c r="A14" s="8" t="str">
        <f>'Default Mapping'!A14</f>
        <v>address3</v>
      </c>
      <c r="B14" s="8" t="str">
        <f>IF('Default Mapping'!E14="","",'Default Mapping'!E14)</f>
        <v/>
      </c>
      <c r="C14" s="8" t="str">
        <f>IF(COUNTIFS('Secondary Mapping'!$B$6:$B$300,$E$2,'Secondary Mapping'!$C$6:$C$300,$A14)&gt;0,IFERROR(INDEX('Secondary Mapping'!$E$6:$E$300,MATCH($E$2&amp;"::"&amp;$A14,'Secondary Mapping'!$M$6:$M$300,0))&amp;"",""),"")</f>
        <v>POSTA</v>
      </c>
      <c r="D14" s="8" t="str">
        <f>IF(COUNTIFS('Secondary Mapping'!$B$6:$B$300,$E$2,'Secondary Mapping'!$C$6:$C$300,$A14)&gt;0,IF(C14="","Review: blank target",C14),IF(B14="","Not recorded",B14))</f>
        <v>POSTA</v>
      </c>
      <c r="E14" s="8" t="str">
        <f>IF(COUNTIFS('Secondary Mapping'!$B$6:$B$300,$E$2,'Secondary Mapping'!$C$6:$C$300,$A14)&gt;0,"Secondary Mapping",IF(B14="","Not recorded","Default Mapping"))</f>
        <v>Secondary Mapping</v>
      </c>
    </row>
    <row r="15" spans="1:5" ht="15">
      <c r="A15" s="2" t="str">
        <f>'Default Mapping'!A15</f>
        <v>address4</v>
      </c>
      <c r="B15" s="2" t="str">
        <f>IF('Default Mapping'!E15="","",'Default Mapping'!E15)</f>
        <v/>
      </c>
      <c r="C15" s="2" t="str">
        <f>IF(COUNTIFS('Secondary Mapping'!$B$6:$B$300,$E$2,'Secondary Mapping'!$C$6:$C$300,$A15)&gt;0,IFERROR(INDEX('Secondary Mapping'!$E$6:$E$300,MATCH($E$2&amp;"::"&amp;$A15,'Secondary Mapping'!$M$6:$M$300,0))&amp;"",""),"")</f>
        <v>LOCAT</v>
      </c>
      <c r="D15" s="2" t="str">
        <f>IF(COUNTIFS('Secondary Mapping'!$B$6:$B$300,$E$2,'Secondary Mapping'!$C$6:$C$300,$A15)&gt;0,IF(C15="","Review: blank target",C15),IF(B15="","Not recorded",B15))</f>
        <v>LOCAT</v>
      </c>
      <c r="E15" s="2" t="str">
        <f>IF(COUNTIFS('Secondary Mapping'!$B$6:$B$300,$E$2,'Secondary Mapping'!$C$6:$C$300,$A15)&gt;0,"Secondary Mapping",IF(B15="","Not recorded","Default Mapping"))</f>
        <v>Secondary Mapping</v>
      </c>
    </row>
    <row r="16" spans="1:5" ht="15">
      <c r="A16" s="8" t="str">
        <f>'Default Mapping'!A16</f>
        <v>address5</v>
      </c>
      <c r="B16" s="8" t="str">
        <f>IF('Default Mapping'!E16="","",'Default Mapping'!E16)</f>
        <v/>
      </c>
      <c r="C16" s="8" t="str">
        <f>IF(COUNTIFS('Secondary Mapping'!$B$6:$B$300,$E$2,'Secondary Mapping'!$C$6:$C$300,$A16)&gt;0,IFERROR(INDEX('Secondary Mapping'!$E$6:$E$300,MATCH($E$2&amp;"::"&amp;$A16,'Secondary Mapping'!$M$6:$M$300,0))&amp;"",""),"")</f>
        <v/>
      </c>
      <c r="D16" s="8" t="str">
        <f>IF(COUNTIFS('Secondary Mapping'!$B$6:$B$300,$E$2,'Secondary Mapping'!$C$6:$C$300,$A16)&gt;0,IF(C16="","Review: blank target",C16),IF(B16="","Not recorded",B16))</f>
        <v>Not recorded</v>
      </c>
      <c r="E16" s="8" t="str">
        <f>IF(COUNTIFS('Secondary Mapping'!$B$6:$B$300,$E$2,'Secondary Mapping'!$C$6:$C$300,$A16)&gt;0,"Secondary Mapping",IF(B16="","Not recorded","Default Mapping"))</f>
        <v>Not recorded</v>
      </c>
    </row>
    <row r="17" spans="1:5" ht="15">
      <c r="A17" s="2" t="str">
        <f>'Default Mapping'!A17</f>
        <v>address6</v>
      </c>
      <c r="B17" s="2" t="str">
        <f>IF('Default Mapping'!E17="","",'Default Mapping'!E17)</f>
        <v/>
      </c>
      <c r="C17" s="2" t="str">
        <f>IF(COUNTIFS('Secondary Mapping'!$B$6:$B$300,$E$2,'Secondary Mapping'!$C$6:$C$300,$A17)&gt;0,IFERROR(INDEX('Secondary Mapping'!$E$6:$E$300,MATCH($E$2&amp;"::"&amp;$A17,'Secondary Mapping'!$M$6:$M$300,0))&amp;"",""),"")</f>
        <v/>
      </c>
      <c r="D17" s="2" t="str">
        <f>IF(COUNTIFS('Secondary Mapping'!$B$6:$B$300,$E$2,'Secondary Mapping'!$C$6:$C$300,$A17)&gt;0,IF(C17="","Review: blank target",C17),IF(B17="","Not recorded",B17))</f>
        <v>Not recorded</v>
      </c>
      <c r="E17" s="2" t="str">
        <f>IF(COUNTIFS('Secondary Mapping'!$B$6:$B$300,$E$2,'Secondary Mapping'!$C$6:$C$300,$A17)&gt;0,"Secondary Mapping",IF(B17="","Not recorded","Default Mapping"))</f>
        <v>Not recorded</v>
      </c>
    </row>
    <row r="18" spans="1:5" ht="15">
      <c r="A18" s="8" t="str">
        <f>'Default Mapping'!A18</f>
        <v>address7</v>
      </c>
      <c r="B18" s="8" t="str">
        <f>IF('Default Mapping'!E18="","",'Default Mapping'!E18)</f>
        <v/>
      </c>
      <c r="C18" s="8" t="str">
        <f>IF(COUNTIFS('Secondary Mapping'!$B$6:$B$300,$E$2,'Secondary Mapping'!$C$6:$C$300,$A18)&gt;0,IFERROR(INDEX('Secondary Mapping'!$E$6:$E$300,MATCH($E$2&amp;"::"&amp;$A18,'Secondary Mapping'!$M$6:$M$300,0))&amp;"",""),"")</f>
        <v/>
      </c>
      <c r="D18" s="8" t="str">
        <f>IF(COUNTIFS('Secondary Mapping'!$B$6:$B$300,$E$2,'Secondary Mapping'!$C$6:$C$300,$A18)&gt;0,IF(C18="","Review: blank target",C18),IF(B18="","Not recorded",B18))</f>
        <v>Not recorded</v>
      </c>
      <c r="E18" s="8" t="str">
        <f>IF(COUNTIFS('Secondary Mapping'!$B$6:$B$300,$E$2,'Secondary Mapping'!$C$6:$C$300,$A18)&gt;0,"Secondary Mapping",IF(B18="","Not recorded","Default Mapping"))</f>
        <v>Not recorded</v>
      </c>
    </row>
    <row r="19" spans="1:5" ht="15">
      <c r="A19" s="2" t="str">
        <f>'Default Mapping'!A19</f>
        <v>address8</v>
      </c>
      <c r="B19" s="2" t="str">
        <f>IF('Default Mapping'!E19="","",'Default Mapping'!E19)</f>
        <v/>
      </c>
      <c r="C19" s="2" t="str">
        <f>IF(COUNTIFS('Secondary Mapping'!$B$6:$B$300,$E$2,'Secondary Mapping'!$C$6:$C$300,$A19)&gt;0,IFERROR(INDEX('Secondary Mapping'!$E$6:$E$300,MATCH($E$2&amp;"::"&amp;$A19,'Secondary Mapping'!$M$6:$M$300,0))&amp;"",""),"")</f>
        <v/>
      </c>
      <c r="D19" s="2" t="str">
        <f>IF(COUNTIFS('Secondary Mapping'!$B$6:$B$300,$E$2,'Secondary Mapping'!$C$6:$C$300,$A19)&gt;0,IF(C19="","Review: blank target",C19),IF(B19="","Not recorded",B19))</f>
        <v>Not recorded</v>
      </c>
      <c r="E19" s="2" t="str">
        <f>IF(COUNTIFS('Secondary Mapping'!$B$6:$B$300,$E$2,'Secondary Mapping'!$C$6:$C$300,$A19)&gt;0,"Secondary Mapping",IF(B19="","Not recorded","Default Mapping"))</f>
        <v>Not recorded</v>
      </c>
    </row>
    <row r="20" spans="1:5" ht="15">
      <c r="A20" s="8" t="str">
        <f>'Default Mapping'!A20</f>
        <v>address9</v>
      </c>
      <c r="B20" s="8" t="str">
        <f>IF('Default Mapping'!E20="","",'Default Mapping'!E20)</f>
        <v/>
      </c>
      <c r="C20" s="8" t="str">
        <f>IF(COUNTIFS('Secondary Mapping'!$B$6:$B$300,$E$2,'Secondary Mapping'!$C$6:$C$300,$A20)&gt;0,IFERROR(INDEX('Secondary Mapping'!$E$6:$E$300,MATCH($E$2&amp;"::"&amp;$A20,'Secondary Mapping'!$M$6:$M$300,0))&amp;"",""),"")</f>
        <v/>
      </c>
      <c r="D20" s="8" t="str">
        <f>IF(COUNTIFS('Secondary Mapping'!$B$6:$B$300,$E$2,'Secondary Mapping'!$C$6:$C$300,$A20)&gt;0,IF(C20="","Review: blank target",C20),IF(B20="","Not recorded",B20))</f>
        <v>Not recorded</v>
      </c>
      <c r="E20" s="8" t="str">
        <f>IF(COUNTIFS('Secondary Mapping'!$B$6:$B$300,$E$2,'Secondary Mapping'!$C$6:$C$300,$A20)&gt;0,"Secondary Mapping",IF(B20="","Not recorded","Default Mapping"))</f>
        <v>Not recorded</v>
      </c>
    </row>
    <row r="21" spans="1:5" ht="15">
      <c r="A21" s="2" t="str">
        <f>'Default Mapping'!A21</f>
        <v>address10</v>
      </c>
      <c r="B21" s="2" t="str">
        <f>IF('Default Mapping'!E21="","",'Default Mapping'!E21)</f>
        <v/>
      </c>
      <c r="C21" s="2" t="str">
        <f>IF(COUNTIFS('Secondary Mapping'!$B$6:$B$300,$E$2,'Secondary Mapping'!$C$6:$C$300,$A21)&gt;0,IFERROR(INDEX('Secondary Mapping'!$E$6:$E$300,MATCH($E$2&amp;"::"&amp;$A21,'Secondary Mapping'!$M$6:$M$300,0))&amp;"",""),"")</f>
        <v/>
      </c>
      <c r="D21" s="2" t="str">
        <f>IF(COUNTIFS('Secondary Mapping'!$B$6:$B$300,$E$2,'Secondary Mapping'!$C$6:$C$300,$A21)&gt;0,IF(C21="","Review: blank target",C21),IF(B21="","Not recorded",B21))</f>
        <v>Not recorded</v>
      </c>
      <c r="E21" s="2" t="str">
        <f>IF(COUNTIFS('Secondary Mapping'!$B$6:$B$300,$E$2,'Secondary Mapping'!$C$6:$C$300,$A21)&gt;0,"Secondary Mapping",IF(B21="","Not recorded","Default Mapping"))</f>
        <v>Not recorded</v>
      </c>
    </row>
    <row r="22" spans="1:5" ht="15">
      <c r="A22" s="8" t="str">
        <f>'Default Mapping'!A22</f>
        <v>address11</v>
      </c>
      <c r="B22" s="8" t="str">
        <f>IF('Default Mapping'!E22="","",'Default Mapping'!E22)</f>
        <v/>
      </c>
      <c r="C22" s="8" t="str">
        <f>IF(COUNTIFS('Secondary Mapping'!$B$6:$B$300,$E$2,'Secondary Mapping'!$C$6:$C$300,$A22)&gt;0,IFERROR(INDEX('Secondary Mapping'!$E$6:$E$300,MATCH($E$2&amp;"::"&amp;$A22,'Secondary Mapping'!$M$6:$M$300,0))&amp;"",""),"")</f>
        <v/>
      </c>
      <c r="D22" s="8" t="str">
        <f>IF(COUNTIFS('Secondary Mapping'!$B$6:$B$300,$E$2,'Secondary Mapping'!$C$6:$C$300,$A22)&gt;0,IF(C22="","Review: blank target",C22),IF(B22="","Not recorded",B22))</f>
        <v>Not recorded</v>
      </c>
      <c r="E22" s="8" t="str">
        <f>IF(COUNTIFS('Secondary Mapping'!$B$6:$B$300,$E$2,'Secondary Mapping'!$C$6:$C$300,$A22)&gt;0,"Secondary Mapping",IF(B22="","Not recorded","Default Mapping"))</f>
        <v>Not recorded</v>
      </c>
    </row>
    <row r="23" spans="1:5" ht="15">
      <c r="A23" s="2" t="str">
        <f>'Default Mapping'!A23</f>
        <v>address12</v>
      </c>
      <c r="B23" s="2" t="str">
        <f>IF('Default Mapping'!E23="","",'Default Mapping'!E23)</f>
        <v/>
      </c>
      <c r="C23" s="2" t="str">
        <f>IF(COUNTIFS('Secondary Mapping'!$B$6:$B$300,$E$2,'Secondary Mapping'!$C$6:$C$300,$A23)&gt;0,IFERROR(INDEX('Secondary Mapping'!$E$6:$E$300,MATCH($E$2&amp;"::"&amp;$A23,'Secondary Mapping'!$M$6:$M$300,0))&amp;"",""),"")</f>
        <v/>
      </c>
      <c r="D23" s="2" t="str">
        <f>IF(COUNTIFS('Secondary Mapping'!$B$6:$B$300,$E$2,'Secondary Mapping'!$C$6:$C$300,$A23)&gt;0,IF(C23="","Review: blank target",C23),IF(B23="","Not recorded",B23))</f>
        <v>Not recorded</v>
      </c>
      <c r="E23" s="2" t="str">
        <f>IF(COUNTIFS('Secondary Mapping'!$B$6:$B$300,$E$2,'Secondary Mapping'!$C$6:$C$300,$A23)&gt;0,"Secondary Mapping",IF(B23="","Not recorded","Default Mapping"))</f>
        <v>Not recorded</v>
      </c>
    </row>
    <row r="24" spans="1:5" ht="15">
      <c r="A24" s="8" t="str">
        <f>'Default Mapping'!A24</f>
        <v>address13</v>
      </c>
      <c r="B24" s="8" t="str">
        <f>IF('Default Mapping'!E24="","",'Default Mapping'!E24)</f>
        <v/>
      </c>
      <c r="C24" s="8" t="str">
        <f>IF(COUNTIFS('Secondary Mapping'!$B$6:$B$300,$E$2,'Secondary Mapping'!$C$6:$C$300,$A24)&gt;0,IFERROR(INDEX('Secondary Mapping'!$E$6:$E$300,MATCH($E$2&amp;"::"&amp;$A24,'Secondary Mapping'!$M$6:$M$300,0))&amp;"",""),"")</f>
        <v/>
      </c>
      <c r="D24" s="8" t="str">
        <f>IF(COUNTIFS('Secondary Mapping'!$B$6:$B$300,$E$2,'Secondary Mapping'!$C$6:$C$300,$A24)&gt;0,IF(C24="","Review: blank target",C24),IF(B24="","Not recorded",B24))</f>
        <v>Not recorded</v>
      </c>
      <c r="E24" s="8" t="str">
        <f>IF(COUNTIFS('Secondary Mapping'!$B$6:$B$300,$E$2,'Secondary Mapping'!$C$6:$C$300,$A24)&gt;0,"Secondary Mapping",IF(B24="","Not recorded","Default Mapping"))</f>
        <v>Not recorded</v>
      </c>
    </row>
    <row r="25" spans="1:5" ht="15">
      <c r="A25" s="2" t="str">
        <f>'Default Mapping'!A25</f>
        <v>address20</v>
      </c>
      <c r="B25" s="2" t="str">
        <f>IF('Default Mapping'!E25="","",'Default Mapping'!E25)</f>
        <v/>
      </c>
      <c r="C25" s="2" t="str">
        <f>IF(COUNTIFS('Secondary Mapping'!$B$6:$B$300,$E$2,'Secondary Mapping'!$C$6:$C$300,$A25)&gt;0,IFERROR(INDEX('Secondary Mapping'!$E$6:$E$300,MATCH($E$2&amp;"::"&amp;$A25,'Secondary Mapping'!$M$6:$M$300,0))&amp;"",""),"")</f>
        <v/>
      </c>
      <c r="D25" s="2" t="str">
        <f>IF(COUNTIFS('Secondary Mapping'!$B$6:$B$300,$E$2,'Secondary Mapping'!$C$6:$C$300,$A25)&gt;0,IF(C25="","Review: blank target",C25),IF(B25="","Not recorded",B25))</f>
        <v>Not recorded</v>
      </c>
      <c r="E25" s="2" t="str">
        <f>IF(COUNTIFS('Secondary Mapping'!$B$6:$B$300,$E$2,'Secondary Mapping'!$C$6:$C$300,$A25)&gt;0,"Secondary Mapping",IF(B25="","Not recorded","Default Mapping"))</f>
        <v>Not recorded</v>
      </c>
    </row>
    <row r="26" spans="1:5" ht="15">
      <c r="A26" s="8" t="str">
        <f>'Default Mapping'!A26</f>
        <v>state</v>
      </c>
      <c r="B26" s="8" t="str">
        <f>IF('Default Mapping'!E26="","",'Default Mapping'!E26)</f>
        <v>STATE</v>
      </c>
      <c r="C26" s="8" t="str">
        <f>IF(COUNTIFS('Secondary Mapping'!$B$6:$B$300,$E$2,'Secondary Mapping'!$C$6:$C$300,$A26)&gt;0,IFERROR(INDEX('Secondary Mapping'!$E$6:$E$300,MATCH($E$2&amp;"::"&amp;$A26,'Secondary Mapping'!$M$6:$M$300,0))&amp;"",""),"")</f>
        <v/>
      </c>
      <c r="D26" s="8" t="str">
        <f>IF(COUNTIFS('Secondary Mapping'!$B$6:$B$300,$E$2,'Secondary Mapping'!$C$6:$C$300,$A26)&gt;0,IF(C26="","Review: blank target",C26),IF(B26="","Not recorded",B26))</f>
        <v>STATE</v>
      </c>
      <c r="E26" s="8" t="str">
        <f>IF(COUNTIFS('Secondary Mapping'!$B$6:$B$300,$E$2,'Secondary Mapping'!$C$6:$C$300,$A26)&gt;0,"Secondary Mapping",IF(B26="","Not recorded","Default Mapping"))</f>
        <v>Default Mapping</v>
      </c>
    </row>
    <row r="27" spans="1:5" ht="15">
      <c r="A27" s="2" t="str">
        <f>'Default Mapping'!A27</f>
        <v>province</v>
      </c>
      <c r="B27" s="2" t="str">
        <f>IF('Default Mapping'!E27="","",'Default Mapping'!E27)</f>
        <v/>
      </c>
      <c r="C27" s="2" t="str">
        <f>IF(COUNTIFS('Secondary Mapping'!$B$6:$B$300,$E$2,'Secondary Mapping'!$C$6:$C$300,$A27)&gt;0,IFERROR(INDEX('Secondary Mapping'!$E$6:$E$300,MATCH($E$2&amp;"::"&amp;$A27,'Secondary Mapping'!$M$6:$M$300,0))&amp;"",""),"")</f>
        <v/>
      </c>
      <c r="D27" s="2" t="str">
        <f>IF(COUNTIFS('Secondary Mapping'!$B$6:$B$300,$E$2,'Secondary Mapping'!$C$6:$C$300,$A27)&gt;0,IF(C27="","Review: blank target",C27),IF(B27="","Not recorded",B27))</f>
        <v>Not recorded</v>
      </c>
      <c r="E27" s="2" t="str">
        <f>IF(COUNTIFS('Secondary Mapping'!$B$6:$B$300,$E$2,'Secondary Mapping'!$C$6:$C$300,$A27)&gt;0,"Secondary Mapping",IF(B27="","Not recorded","Default Mapping"))</f>
        <v>Not recorded</v>
      </c>
    </row>
    <row r="28" spans="1:5" ht="15">
      <c r="A28" s="8" t="str">
        <f>'Default Mapping'!A28</f>
        <v>county</v>
      </c>
      <c r="B28" s="8" t="str">
        <f>IF('Default Mapping'!E28="","",'Default Mapping'!E28)</f>
        <v/>
      </c>
      <c r="C28" s="8" t="str">
        <f>IF(COUNTIFS('Secondary Mapping'!$B$6:$B$300,$E$2,'Secondary Mapping'!$C$6:$C$300,$A28)&gt;0,IFERROR(INDEX('Secondary Mapping'!$E$6:$E$300,MATCH($E$2&amp;"::"&amp;$A28,'Secondary Mapping'!$M$6:$M$300,0))&amp;"",""),"")</f>
        <v>ORT02</v>
      </c>
      <c r="D28" s="8" t="str">
        <f>IF(COUNTIFS('Secondary Mapping'!$B$6:$B$300,$E$2,'Secondary Mapping'!$C$6:$C$300,$A28)&gt;0,IF(C28="","Review: blank target",C28),IF(B28="","Not recorded",B28))</f>
        <v>ORT02</v>
      </c>
      <c r="E28" s="8" t="str">
        <f>IF(COUNTIFS('Secondary Mapping'!$B$6:$B$300,$E$2,'Secondary Mapping'!$C$6:$C$300,$A28)&gt;0,"Secondary Mapping",IF(B28="","Not recorded","Default Mapping"))</f>
        <v>Secondary Mapping</v>
      </c>
    </row>
  </sheetData>
  <mergeCells count="2">
    <mergeCell ref="A1:E1"/>
    <mergeCell ref="A3:E3"/>
  </mergeCells>
  <dataValidations count="1">
    <dataValidation type="list" sqref="B2" xr:uid="{00000000-0002-0000-0300-000000000000}">
      <formula1>"Canada,Australia,Austria,Belgium,Bermuda,China,Colombia,France,Hong Kong,India,Ireland,Israel,Japan,Netherlands,Spain,Switzerland,United Kingdom,United States,Germany"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Default Mapping</vt:lpstr>
      <vt:lpstr>Secondary Mapping</vt:lpstr>
      <vt:lpstr>Countries</vt:lpstr>
      <vt:lpstr>Country 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Gong</cp:lastModifiedBy>
  <dcterms:modified xsi:type="dcterms:W3CDTF">2026-09-18T19:53:37Z</dcterms:modified>
</cp:coreProperties>
</file>